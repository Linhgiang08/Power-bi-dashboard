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8319065_qut_edu_au/Documents/DSB300 Group Project/"/>
    </mc:Choice>
  </mc:AlternateContent>
  <xr:revisionPtr revIDLastSave="0" documentId="8_{187DDAEC-CF23-4C9E-AC0F-6057262DDD0C}" xr6:coauthVersionLast="47" xr6:coauthVersionMax="47" xr10:uidLastSave="{00000000-0000-0000-0000-000000000000}"/>
  <bookViews>
    <workbookView xWindow="0" yWindow="740" windowWidth="23240" windowHeight="13880" xr2:uid="{11072625-C50D-441F-AECD-2C2D14EC6972}"/>
  </bookViews>
  <sheets>
    <sheet name="Current Projects" sheetId="1" r:id="rId1"/>
    <sheet name="Historical Data" sheetId="5" r:id="rId2"/>
  </sheets>
  <definedNames>
    <definedName name="_xlnm._FilterDatabase" localSheetId="0" hidden="1">'Current Projects'!$A$1:$AI$45</definedName>
    <definedName name="_Hlk176359633" localSheetId="0">'Current Projects'!#REF!</definedName>
    <definedName name="_Hlk176359646" localSheetId="0">'Current Projects'!#REF!</definedName>
    <definedName name="_Hlk176359658" localSheetId="0">'Current Projects'!#REF!</definedName>
    <definedName name="_xlnm.Print_Titles" localSheetId="0">'Current Projects'!$1:$1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5" l="1"/>
  <c r="S81" i="5"/>
  <c r="R81" i="5"/>
  <c r="Q81" i="5"/>
  <c r="P81" i="5"/>
  <c r="O81" i="5"/>
  <c r="N81" i="5"/>
  <c r="L81" i="5"/>
  <c r="J81" i="5"/>
  <c r="I81" i="5"/>
  <c r="H81" i="5"/>
  <c r="G81" i="5"/>
  <c r="F81" i="5"/>
  <c r="E81" i="5"/>
  <c r="D81" i="5"/>
  <c r="C81" i="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2" i="1"/>
</calcChain>
</file>

<file path=xl/sharedStrings.xml><?xml version="1.0" encoding="utf-8"?>
<sst xmlns="http://schemas.openxmlformats.org/spreadsheetml/2006/main" count="1448" uniqueCount="454">
  <si>
    <t>Current Project Status</t>
  </si>
  <si>
    <t>Project Number</t>
  </si>
  <si>
    <t>Primary Researcher | Supervisor</t>
  </si>
  <si>
    <t>Funded</t>
  </si>
  <si>
    <t>Associated Degree</t>
  </si>
  <si>
    <t xml:space="preserve">Research Student </t>
  </si>
  <si>
    <t>Project Title</t>
  </si>
  <si>
    <t>University</t>
  </si>
  <si>
    <t>Other Organisations Involved</t>
  </si>
  <si>
    <t>Sport</t>
  </si>
  <si>
    <t>Endorsement Received From</t>
  </si>
  <si>
    <t>QAS Sponsor</t>
  </si>
  <si>
    <t>Discipline</t>
  </si>
  <si>
    <t>Project Area</t>
  </si>
  <si>
    <t>Status</t>
  </si>
  <si>
    <t>Commencement Date</t>
  </si>
  <si>
    <t>Completion Date</t>
  </si>
  <si>
    <t>Partner Contribution</t>
  </si>
  <si>
    <t>QAS Contribution</t>
  </si>
  <si>
    <t>Total Budget</t>
  </si>
  <si>
    <t>Stage 1 Complete</t>
  </si>
  <si>
    <t>Stage 2 Complete</t>
  </si>
  <si>
    <t>Stage 3 Complete</t>
  </si>
  <si>
    <t>Stage 4 Complete</t>
  </si>
  <si>
    <t>Stage 5 Complete</t>
  </si>
  <si>
    <t>Stage 6 Complete</t>
  </si>
  <si>
    <t>Year 1, 1 Six Monthly Report</t>
  </si>
  <si>
    <t>Year 1, 2 Six Monthly Report</t>
  </si>
  <si>
    <t>Year 2, 1 Six Monthly Report</t>
  </si>
  <si>
    <t>Year 2, 2 Six Monthly Report</t>
  </si>
  <si>
    <t>Year 3, 1 Six Monthly Report</t>
  </si>
  <si>
    <t>Year 3, 2 Six Monthly Report</t>
  </si>
  <si>
    <t>Final Report Received</t>
  </si>
  <si>
    <t># of Publications</t>
  </si>
  <si>
    <t># of Conference Presentations</t>
  </si>
  <si>
    <t>Active</t>
  </si>
  <si>
    <t>Alexis Durham</t>
  </si>
  <si>
    <t>PhD</t>
  </si>
  <si>
    <t>Alanna McIntyre</t>
  </si>
  <si>
    <t>Transferability of decision-making skills in team sports</t>
  </si>
  <si>
    <t>Queensland University of Technology</t>
  </si>
  <si>
    <t>N/A</t>
  </si>
  <si>
    <t>MultiSport</t>
  </si>
  <si>
    <t>Head of Sport Science</t>
  </si>
  <si>
    <t>Sport Science</t>
  </si>
  <si>
    <t>Learning Design</t>
  </si>
  <si>
    <t>Resumed March 2025</t>
  </si>
  <si>
    <t>30/09/2022</t>
  </si>
  <si>
    <t>31/03/2026</t>
  </si>
  <si>
    <t>Yes</t>
  </si>
  <si>
    <t>No</t>
  </si>
  <si>
    <t>Tiffany Ingram</t>
  </si>
  <si>
    <t>Laney Hubbard</t>
  </si>
  <si>
    <t>Prevention and treatment of foot injuries in athletes</t>
  </si>
  <si>
    <t>Australian Catholic University</t>
  </si>
  <si>
    <t>Head of Health</t>
  </si>
  <si>
    <t>Health</t>
  </si>
  <si>
    <t>No contact</t>
  </si>
  <si>
    <t>31/03/2021</t>
  </si>
  <si>
    <t>31/12/2024</t>
  </si>
  <si>
    <t>Tripp Padilla</t>
  </si>
  <si>
    <t>Masters</t>
  </si>
  <si>
    <t>Makayla Arnold</t>
  </si>
  <si>
    <t>Building an enhanced data base for paddle sports</t>
  </si>
  <si>
    <t>AIS; Paddle Australia</t>
  </si>
  <si>
    <t>Paddle</t>
  </si>
  <si>
    <t>Head of Data</t>
  </si>
  <si>
    <t>Data</t>
  </si>
  <si>
    <t>Student to downgrade to a Masters</t>
  </si>
  <si>
    <t>30/09/2021</t>
  </si>
  <si>
    <t>31/03/2025</t>
  </si>
  <si>
    <t>Maggie McKenzie</t>
  </si>
  <si>
    <t>Emilia French</t>
  </si>
  <si>
    <t xml:space="preserve">Combining motherhood with longevity of engagement in high-performance sport </t>
  </si>
  <si>
    <t>Women's Health</t>
  </si>
  <si>
    <t>Part Time</t>
  </si>
  <si>
    <t>Scott Atkins</t>
  </si>
  <si>
    <t>Rylee Evans</t>
  </si>
  <si>
    <t>Identifying and addressing factors influencing elite surfing performance</t>
  </si>
  <si>
    <t>AIS; Surfing Australia</t>
  </si>
  <si>
    <t>Surfing</t>
  </si>
  <si>
    <t>Women's Sport; Performance</t>
  </si>
  <si>
    <t>On track</t>
  </si>
  <si>
    <t>To Commence</t>
  </si>
  <si>
    <t>Mina Wilcox</t>
  </si>
  <si>
    <t>Eliseo Duran</t>
  </si>
  <si>
    <t xml:space="preserve">Monitoring temporal trajectories of athlete progression </t>
  </si>
  <si>
    <t xml:space="preserve">CSIRO
</t>
  </si>
  <si>
    <t>To commence in Dec 2025</t>
  </si>
  <si>
    <t>31/12/2025</t>
  </si>
  <si>
    <t>30/09/2029</t>
  </si>
  <si>
    <t>Jerry Nielsen</t>
  </si>
  <si>
    <t>Willa Acevedo</t>
  </si>
  <si>
    <t>Reducing the incidence of injury and illness in triathlon</t>
  </si>
  <si>
    <t>Triathlon Australia</t>
  </si>
  <si>
    <t>Triathlon</t>
  </si>
  <si>
    <t>Submitted, awaiting feedback</t>
  </si>
  <si>
    <t>31/12/2021</t>
  </si>
  <si>
    <t>30/06/2025</t>
  </si>
  <si>
    <t>Vienna Clements</t>
  </si>
  <si>
    <t>Dakari Clark</t>
  </si>
  <si>
    <t>Optimising sleep for elite female athletes</t>
  </si>
  <si>
    <t>Bond University</t>
  </si>
  <si>
    <t>Fisher Herring</t>
  </si>
  <si>
    <t>Chloe Ramsey</t>
  </si>
  <si>
    <t>Design and evaluation of customised sports garments</t>
  </si>
  <si>
    <t>Central Queensland University</t>
  </si>
  <si>
    <t>2XU</t>
  </si>
  <si>
    <t>Recovery</t>
  </si>
  <si>
    <t>31/03/2023</t>
  </si>
  <si>
    <t>31/12/2026</t>
  </si>
  <si>
    <t>Denver Kim</t>
  </si>
  <si>
    <t>Luciano Harrison</t>
  </si>
  <si>
    <t>Enabling athletes to cope effectively with high-pressure situations</t>
  </si>
  <si>
    <t>Deakin University</t>
  </si>
  <si>
    <t>Sport Science; Health</t>
  </si>
  <si>
    <t>Psychology</t>
  </si>
  <si>
    <t>Roman Patterson</t>
  </si>
  <si>
    <t>Jasmine Wang</t>
  </si>
  <si>
    <t>Individualisation of tapering protocols for swimmers</t>
  </si>
  <si>
    <t>Griffith University</t>
  </si>
  <si>
    <t>Swimming</t>
  </si>
  <si>
    <t>Brisbane Swimming Hub Manager</t>
  </si>
  <si>
    <t>Physiologist - Swimming</t>
  </si>
  <si>
    <t>Performance</t>
  </si>
  <si>
    <t>Kaylee Brown</t>
  </si>
  <si>
    <t>Cohen Phelps</t>
  </si>
  <si>
    <t>Identification of critical components of tapering protocols employed by swimmers</t>
  </si>
  <si>
    <t>Elijah Norris</t>
  </si>
  <si>
    <t>Importance of different approaches to learning in facilitating of coach development</t>
  </si>
  <si>
    <t>Coach Development Lead</t>
  </si>
  <si>
    <t>Coaching</t>
  </si>
  <si>
    <t>30/09/2025</t>
  </si>
  <si>
    <t>Arielle Calderon; Forrest Duke</t>
  </si>
  <si>
    <t>Post-Doctorate</t>
  </si>
  <si>
    <t xml:space="preserve">Modulators of fatigue and recovery in athletes undergoing periodised training  </t>
  </si>
  <si>
    <t>AIS</t>
  </si>
  <si>
    <t>Oakley Ward</t>
  </si>
  <si>
    <t>Melani Morton</t>
  </si>
  <si>
    <t>Improving quantification of resistance training</t>
  </si>
  <si>
    <t>Strength and Conditioning</t>
  </si>
  <si>
    <t>Ariana Carroll</t>
  </si>
  <si>
    <t>Roland Sullivan</t>
  </si>
  <si>
    <t>Understanding patterns of play in Women's Water Polo</t>
  </si>
  <si>
    <t>Water Polo</t>
  </si>
  <si>
    <t>Performance; Physiology</t>
  </si>
  <si>
    <t>Final Seminar Completed (4/3/2025)</t>
  </si>
  <si>
    <t>31/03/2022</t>
  </si>
  <si>
    <t>Oscar Hoffman</t>
  </si>
  <si>
    <t>Melanie Gibson</t>
  </si>
  <si>
    <t>Development of training protocols to reduce occurrence of shoulder injuries in swimmers</t>
  </si>
  <si>
    <t>Senior Physiotherapist</t>
  </si>
  <si>
    <t>Health; Injury Prevention</t>
  </si>
  <si>
    <t>30/06/2022</t>
  </si>
  <si>
    <t>Aspen Mathis</t>
  </si>
  <si>
    <t>Tyler Hodges</t>
  </si>
  <si>
    <t>Identifying and implementing best practice for physique assessment in high-level athletes</t>
  </si>
  <si>
    <t>La Trobe University</t>
  </si>
  <si>
    <t>Technical Nutrition Lead</t>
  </si>
  <si>
    <t>Changed to Part Time (Feb 2025)</t>
  </si>
  <si>
    <t>30/06/2024</t>
  </si>
  <si>
    <t>30/06/2029</t>
  </si>
  <si>
    <t>Gustavo Rush</t>
  </si>
  <si>
    <t>Eve Parks</t>
  </si>
  <si>
    <t>Defining and addressing mental fatigue in athletes</t>
  </si>
  <si>
    <t>Maleah Arroyo</t>
  </si>
  <si>
    <t>Gianni Chambers</t>
  </si>
  <si>
    <t>Ability of advanced mathematics to provide new insights on swimming performance</t>
  </si>
  <si>
    <t>PhD Confirmation/Articulation Seminar (18/3/2025)</t>
  </si>
  <si>
    <t>On Hold</t>
  </si>
  <si>
    <t>Alberto Butler</t>
  </si>
  <si>
    <t>Aerodynamic determinants of performance in various cycling races</t>
  </si>
  <si>
    <t>Cycling</t>
  </si>
  <si>
    <t>Athena Craig</t>
  </si>
  <si>
    <t>Abraham Odom</t>
  </si>
  <si>
    <t>Role of computer vision as an aid to throwers</t>
  </si>
  <si>
    <t>Athletics</t>
  </si>
  <si>
    <t>Performance Scientist - Athletics</t>
  </si>
  <si>
    <t>Commenced April 2025</t>
  </si>
  <si>
    <t>31/12/2028</t>
  </si>
  <si>
    <t>-</t>
  </si>
  <si>
    <t>Odin Manning; Lailani Stafford</t>
  </si>
  <si>
    <t xml:space="preserve">Optimising interactions between national and club coaches </t>
  </si>
  <si>
    <t>31/03/2024</t>
  </si>
  <si>
    <t>30/09/2027</t>
  </si>
  <si>
    <t>Jennifer Hogan</t>
  </si>
  <si>
    <t>Alfredo Stafford</t>
  </si>
  <si>
    <t>Effective monitoring of the bone health of athletes</t>
  </si>
  <si>
    <t>Sonny McKinney</t>
  </si>
  <si>
    <t>Bridget Clements</t>
  </si>
  <si>
    <t xml:space="preserve">Protecting the brain health of athletes </t>
  </si>
  <si>
    <t>Gwendolyn Pruitt</t>
  </si>
  <si>
    <t>Fisher Calhoun</t>
  </si>
  <si>
    <t>Effect of training loads in the subdisciplines of triathlon on performance health of female triathletes</t>
  </si>
  <si>
    <t>Gatlin Foley</t>
  </si>
  <si>
    <t>Factors influencing successful transition from recent severe injury into Para Sports</t>
  </si>
  <si>
    <t>Para</t>
  </si>
  <si>
    <t>Para High Performance Manager</t>
  </si>
  <si>
    <t>Para Sport</t>
  </si>
  <si>
    <t>Para Health</t>
  </si>
  <si>
    <t>Zaylee Steele</t>
  </si>
  <si>
    <t>Customising wheelchair characteristics for Para athletes</t>
  </si>
  <si>
    <t>Elian Giles</t>
  </si>
  <si>
    <t>Developing expertise in seated throwing - the importance of specialised coaching</t>
  </si>
  <si>
    <t>University of Canberra</t>
  </si>
  <si>
    <t>Coaching; Para Sport; Para Health</t>
  </si>
  <si>
    <t>31/12/2027</t>
  </si>
  <si>
    <t>Bailee Vance</t>
  </si>
  <si>
    <t>Corey Miles</t>
  </si>
  <si>
    <t xml:space="preserve">Toward a better understanding of birthplace effects on eventual sport performance </t>
  </si>
  <si>
    <t>Talent</t>
  </si>
  <si>
    <t>Talent Identification and Development Lead</t>
  </si>
  <si>
    <t>Casen Anthony</t>
  </si>
  <si>
    <t>Alessandra Avila</t>
  </si>
  <si>
    <t>Synergies between coaches and skill acquisition specialists in enabling high-level sports performance</t>
  </si>
  <si>
    <t>Head of Sport Science; Coach Development Lead</t>
  </si>
  <si>
    <t>Commenced Sept 2024</t>
  </si>
  <si>
    <t>Macy Hood</t>
  </si>
  <si>
    <t>Jaylen Potter</t>
  </si>
  <si>
    <t>Influence of pre-event activities on performance of speed/power atheletes</t>
  </si>
  <si>
    <t>University of Queensland</t>
  </si>
  <si>
    <t>Athletics Australia</t>
  </si>
  <si>
    <t>Athletics High Performance Manager</t>
  </si>
  <si>
    <t>Commencing late 2025</t>
  </si>
  <si>
    <t>Brixton Allen</t>
  </si>
  <si>
    <t>Rory Garrison</t>
  </si>
  <si>
    <t>Incidence and treatment of ACL injuries in female team sport athletes</t>
  </si>
  <si>
    <t>Team Sports</t>
  </si>
  <si>
    <t>Women's Health; Injury Prevention</t>
  </si>
  <si>
    <t>Commenced March 2025</t>
  </si>
  <si>
    <t>Riley Higgins</t>
  </si>
  <si>
    <t>Noe Dickson</t>
  </si>
  <si>
    <t>Evaluation and possible adjustment of methods for detection of athletic talent</t>
  </si>
  <si>
    <t>31/03/2028</t>
  </si>
  <si>
    <t>Sterling Price</t>
  </si>
  <si>
    <t>Addressing challenges surrounding selection of athletes into advanced sport programs</t>
  </si>
  <si>
    <t>Piper Curtis</t>
  </si>
  <si>
    <t>Caden Jenkins</t>
  </si>
  <si>
    <t>Accounting for subculture in developing pathways to high performance for BMX athletes</t>
  </si>
  <si>
    <t>University of Technology Sydney</t>
  </si>
  <si>
    <t>Talent Advisor</t>
  </si>
  <si>
    <t>Performance; Talent</t>
  </si>
  <si>
    <t>Muhammad Huerta</t>
  </si>
  <si>
    <t>Elias Lowe</t>
  </si>
  <si>
    <t xml:space="preserve">Assessing adaptations to resistance training through use of a non-invasive technique for determining muscle typology </t>
  </si>
  <si>
    <t>University of the Sunshine Coast</t>
  </si>
  <si>
    <t>Head of Strength and Conditioning</t>
  </si>
  <si>
    <t>Sport Science; Strength and Conditioning</t>
  </si>
  <si>
    <t>New student recruited - due to commence July 2025</t>
  </si>
  <si>
    <t>Dulce Costa</t>
  </si>
  <si>
    <t>Amari Hayes</t>
  </si>
  <si>
    <t>Understanding the role of sport psychologists as members of athlete support teams</t>
  </si>
  <si>
    <t>University of Toronto; University of Queensland</t>
  </si>
  <si>
    <t>Technical Psychology Lead</t>
  </si>
  <si>
    <t>Psychology; Learning Design</t>
  </si>
  <si>
    <t>Kenji Haynes</t>
  </si>
  <si>
    <t>Potential of citizen science in discovery of athletic talent</t>
  </si>
  <si>
    <t>Talent; Data</t>
  </si>
  <si>
    <t>Non-Funded Youfor2032 Project</t>
  </si>
  <si>
    <t>Lexi Bush</t>
  </si>
  <si>
    <t>Legend Cline</t>
  </si>
  <si>
    <t>Factors affecting Indigenous participation in high-performance sport programs</t>
  </si>
  <si>
    <t>Indigenous; Talent</t>
  </si>
  <si>
    <t>Upgraded from Masters, on track</t>
  </si>
  <si>
    <t>Tyson Santana</t>
  </si>
  <si>
    <t>Lina Tran</t>
  </si>
  <si>
    <t>New approaches to physiological profiling of swimmers</t>
  </si>
  <si>
    <t>Commenced Jan 2025</t>
  </si>
  <si>
    <t>Myra Ibarra</t>
  </si>
  <si>
    <t>Braxton Lozano</t>
  </si>
  <si>
    <t>Accelerated athlete development in different sports</t>
  </si>
  <si>
    <t>Project delayed due to student commencement date of Sept 2025</t>
  </si>
  <si>
    <t>Asa Meyer</t>
  </si>
  <si>
    <t>Development of treatments for seemingly intractable cases of sports concussion</t>
  </si>
  <si>
    <t>Due to commence late 2025</t>
  </si>
  <si>
    <t>Sara Robles</t>
  </si>
  <si>
    <t>Cecelia Woods</t>
  </si>
  <si>
    <t>How can effective double-peaking be achieved in elite Australian swimmers?</t>
  </si>
  <si>
    <t>Swimming Australia</t>
  </si>
  <si>
    <t>Performance; Health</t>
  </si>
  <si>
    <t>Name</t>
  </si>
  <si>
    <t>Current position</t>
  </si>
  <si>
    <t>PhD enrolment</t>
  </si>
  <si>
    <t>Completed PhD</t>
  </si>
  <si>
    <t>Submitted</t>
  </si>
  <si>
    <t>Masters enrolment</t>
  </si>
  <si>
    <t>Completed Masters</t>
  </si>
  <si>
    <t>Withdrawn</t>
  </si>
  <si>
    <t>Lapsed</t>
  </si>
  <si>
    <t>Current</t>
  </si>
  <si>
    <t>PD Completed</t>
  </si>
  <si>
    <t>QAS</t>
  </si>
  <si>
    <t>QAS now</t>
  </si>
  <si>
    <t>HP Sport now</t>
  </si>
  <si>
    <t>Sport-related academia</t>
  </si>
  <si>
    <t>Sport-related corporate</t>
  </si>
  <si>
    <t>Other now</t>
  </si>
  <si>
    <t>QAS first</t>
  </si>
  <si>
    <t xml:space="preserve">Current students working PT in HP sport </t>
  </si>
  <si>
    <t xml:space="preserve">  </t>
  </si>
  <si>
    <t>Ismael Bullock</t>
  </si>
  <si>
    <t>Senior Squad Coach, Carlile Swimming Team, Sydney</t>
  </si>
  <si>
    <t>Jan Simon</t>
  </si>
  <si>
    <t>Current PhD scholar, also Talent Officer, QAS</t>
  </si>
  <si>
    <t>Samuel Mccormick</t>
  </si>
  <si>
    <t>Mental Health Clinician, UNSW</t>
  </si>
  <si>
    <t>Saul Lawson</t>
  </si>
  <si>
    <t>Professional Coach, Rowing &amp; Triathlon, Brisbane (previously Director of Rowing, UTS Rowing Club, Sydney)</t>
  </si>
  <si>
    <t>Edna Morrow</t>
  </si>
  <si>
    <t>Managing Director &amp; Organisational Change Consultant, Habilis Consulting</t>
  </si>
  <si>
    <t>Dolly Huang</t>
  </si>
  <si>
    <t>Principal Applied Machine Learning Scientist, Rokt, USA (previously with Amazon)</t>
  </si>
  <si>
    <t>Shawn Everett</t>
  </si>
  <si>
    <t>Current PhD scholar, also Mathematics Tutor, International House, Brisbane</t>
  </si>
  <si>
    <t>Terrell Morrison</t>
  </si>
  <si>
    <t>Sports Dietitian, QAS</t>
  </si>
  <si>
    <t>Andres Cherry</t>
  </si>
  <si>
    <t>Lecturer in Clinical Education, Griffith University</t>
  </si>
  <si>
    <t>Millie Rhodes</t>
  </si>
  <si>
    <t>Para Sport Development Coordinator, Sporting Wheelies (previously Head Coach, Indooroopilly Swimming Club)</t>
  </si>
  <si>
    <t>Deanna Atkins</t>
  </si>
  <si>
    <t>Research Assistant, Leibniz Institute for Educational Trajectories, Germany</t>
  </si>
  <si>
    <t>Preston Stewart</t>
  </si>
  <si>
    <t>Associate Professor, Behaviour, Environment &amp; Cognition, ACU</t>
  </si>
  <si>
    <t>Calvin Prince</t>
  </si>
  <si>
    <t>Part-time Research Assistant in GU concussion projects</t>
  </si>
  <si>
    <t>Antoinette Schaefer</t>
  </si>
  <si>
    <t>Physiotherapist &amp; Level 2 Coach, Cycle Dynamics</t>
  </si>
  <si>
    <t>Stacie Harper</t>
  </si>
  <si>
    <t>Chef, Hard Rock Café, Surfers Paradise</t>
  </si>
  <si>
    <t>Cornelia Santana</t>
  </si>
  <si>
    <t>Lecturer in Public Health, USC. Also QAS Board member</t>
  </si>
  <si>
    <t>Jacinto Pierce</t>
  </si>
  <si>
    <t>Life Coach for adventurers, currently touring Australa</t>
  </si>
  <si>
    <t>Tyree Tyler</t>
  </si>
  <si>
    <t>Lecturer in Sport &amp; Exercise Science, La Trobe University, Melbourne</t>
  </si>
  <si>
    <t>Maxwell Chan</t>
  </si>
  <si>
    <t>Assistant Professor, Duke-NUS Medical School, Singapore</t>
  </si>
  <si>
    <t>Rosalyn Castaneda</t>
  </si>
  <si>
    <t>Director of Performance Science, Milwaukee Brewers, USA</t>
  </si>
  <si>
    <t>Elsa Hunt</t>
  </si>
  <si>
    <t>Team Manager, Women's National Football Team, Iceland previously worked for Swimming Australia)</t>
  </si>
  <si>
    <t>Joyce Jordan</t>
  </si>
  <si>
    <t>Advisor, Athlete Wellbeing and Engagement, QAS</t>
  </si>
  <si>
    <t>Blanche Solis</t>
  </si>
  <si>
    <t>Performance Scientist, QAS</t>
  </si>
  <si>
    <t>Sophie Rivera</t>
  </si>
  <si>
    <t>Elliot Wilcox</t>
  </si>
  <si>
    <t>Laboratory Manager, UTS Sydney</t>
  </si>
  <si>
    <t>Carroll Hartman</t>
  </si>
  <si>
    <t>Product Owner, VALD, Brisbane</t>
  </si>
  <si>
    <t>Elisabeth Jarvis</t>
  </si>
  <si>
    <t>Quality Assurance and Technical Officer, Performance Science, QAS</t>
  </si>
  <si>
    <t>Fausto Coleman</t>
  </si>
  <si>
    <t>Teaching Fellow, Hong Kong Polytechnic University</t>
  </si>
  <si>
    <t>Colton Crane</t>
  </si>
  <si>
    <t>Research Officer, School of Human Movement and Nutrition Sciences, UQ</t>
  </si>
  <si>
    <t>Nichole Maxwell</t>
  </si>
  <si>
    <t>Sessional Academic, Centre for Data Science, QUT</t>
  </si>
  <si>
    <t>Kris Davidson</t>
  </si>
  <si>
    <t>Millicent Ferrell</t>
  </si>
  <si>
    <t>Senior Sports Physiologist, SASI. Also Adjunct Assoc Prof, University of South Australia</t>
  </si>
  <si>
    <t>Bert Sparks</t>
  </si>
  <si>
    <t>Applied Sport Scientist</t>
  </si>
  <si>
    <t>Bart Wall</t>
  </si>
  <si>
    <t>ILC 6 Head Coach, Polish Yachting Association</t>
  </si>
  <si>
    <t>Nathaniel Chen</t>
  </si>
  <si>
    <t>Athlete Health &amp; Wellbeing Consultant, Swimming Australia</t>
  </si>
  <si>
    <t>Alicia Kelley</t>
  </si>
  <si>
    <t>Research Assistant at QUT Institute of Health &amp; Biomedical Innovation</t>
  </si>
  <si>
    <t>Robin Casey</t>
  </si>
  <si>
    <t>Research Assistant, Nutrition and Dietetics, Griffith University</t>
  </si>
  <si>
    <t>Mark Olsen</t>
  </si>
  <si>
    <t>Lecturer, School of Health Sciences, Griffith University</t>
  </si>
  <si>
    <t>Serena Pineda</t>
  </si>
  <si>
    <t>Research Fellow/Project Manager at AUT and private consultant in sport technology innovation</t>
  </si>
  <si>
    <t>Cherie Mendoza</t>
  </si>
  <si>
    <t>Head of Performance Research, PING, Loughborough UK. Also President of ISEA</t>
  </si>
  <si>
    <t>Quinton Macias</t>
  </si>
  <si>
    <t>Management Consultant, Bendelta, Brisbane</t>
  </si>
  <si>
    <t>Jerry Garza</t>
  </si>
  <si>
    <t>Lead Elecronics Engineer, Elexon Electronics, Brisbane</t>
  </si>
  <si>
    <t>Norman Hart</t>
  </si>
  <si>
    <t>Coach Developer/Facilitator, KMT Performance, Brisbane</t>
  </si>
  <si>
    <t>Wyatt Wang</t>
  </si>
  <si>
    <t>Faith Pratt</t>
  </si>
  <si>
    <t>Senior Physiologist, Swimming Australia</t>
  </si>
  <si>
    <t>Rose Foley</t>
  </si>
  <si>
    <t>Senior Lecturer, School of Exercise &amp; Nutrition Sciences, QUT</t>
  </si>
  <si>
    <t>Stella Bender</t>
  </si>
  <si>
    <t>Lecturer in Physiotherapy, ACU, Ballarat</t>
  </si>
  <si>
    <t>Ashley Moon</t>
  </si>
  <si>
    <t>Essendon FC Education Academy Manager</t>
  </si>
  <si>
    <t>Minh Henry</t>
  </si>
  <si>
    <t>Senior Lecturer in Human Physiology, GU</t>
  </si>
  <si>
    <t>Chris Swanson</t>
  </si>
  <si>
    <t>Nutrition Manager, Meat and Livestock Australia, Brisbane</t>
  </si>
  <si>
    <t>Porfirio Clayton</t>
  </si>
  <si>
    <t>Skateboarding Performance Pathways Manager, Skate Australia, Burleigh Heads</t>
  </si>
  <si>
    <t>Cyrus Knapp</t>
  </si>
  <si>
    <t>Physiotherapist, Daily Mojo Pty Ltd, Greenslopes Queensland</t>
  </si>
  <si>
    <t>Maria Villegas</t>
  </si>
  <si>
    <t>Senior Lecturer, School of Health Sciences &amp; Social Work, GU. Also Principal Research Fellow, Menzies Health Institute</t>
  </si>
  <si>
    <t>Nathaniel Maxwell</t>
  </si>
  <si>
    <t>Research Fellow, Griffith Centre of Biomedical and Rehabilitation Engineering</t>
  </si>
  <si>
    <t>Toney Rush</t>
  </si>
  <si>
    <t xml:space="preserve">Strength &amp; Conditioning Coach, Swimming, QAS </t>
  </si>
  <si>
    <t>Nickolas Patrick</t>
  </si>
  <si>
    <t>Principal Project Officer - Sport &amp; Recreation, DTIS</t>
  </si>
  <si>
    <t>Everette Moyer</t>
  </si>
  <si>
    <t>Associate Director, Mergers &amp; Acquisitions, InterFinancial Corporate Finance Ltd</t>
  </si>
  <si>
    <t>Roger Cummings</t>
  </si>
  <si>
    <t>Intelligence Officer, Queensland Government</t>
  </si>
  <si>
    <t>Vonda Ritter</t>
  </si>
  <si>
    <t>Technical Officer, School of Health &amp; Allied Sciences, GU, and private practice dietitian</t>
  </si>
  <si>
    <t>Ollie Case</t>
  </si>
  <si>
    <t>General Manager, Envisitec</t>
  </si>
  <si>
    <t>Rene Perez</t>
  </si>
  <si>
    <t>Senior Movement Scientist - Swimming, QAS</t>
  </si>
  <si>
    <t>Carlos Montes</t>
  </si>
  <si>
    <t>Practising sports dietitian (private practice), Sunshine Coast</t>
  </si>
  <si>
    <t>Lilia Medina</t>
  </si>
  <si>
    <t xml:space="preserve">Biomechanist, AIMedical, and Casual Academic in Sports &amp; Exercise Science, ACU Brisbane. </t>
  </si>
  <si>
    <t>Jan Rubio</t>
  </si>
  <si>
    <t>Physiotherapist, Lady Cilento Chidren's Hospital</t>
  </si>
  <si>
    <t>Eddie Gross</t>
  </si>
  <si>
    <t>Head of Sports Science &amp; Physical Performance, Swan Districts Football Club, Perth</t>
  </si>
  <si>
    <t>Cliff Leonard</t>
  </si>
  <si>
    <t>Decision-making Analyst, AFL, Melbourne</t>
  </si>
  <si>
    <t>Georgia Trujillo</t>
  </si>
  <si>
    <t>Senior Lecturer in Exercise Science, GU</t>
  </si>
  <si>
    <t>Caleb Roy</t>
  </si>
  <si>
    <t>Research Fellow, Poche Centre for Indigenous Health, University of Queensland</t>
  </si>
  <si>
    <t>Sherry Hess</t>
  </si>
  <si>
    <t>Teodoro Mcneil</t>
  </si>
  <si>
    <t>Senior Intelligence Analyst, Queensland Police Service</t>
  </si>
  <si>
    <t>Wendy Miranda</t>
  </si>
  <si>
    <t>Associate Research Fellow, QUT School of Management</t>
  </si>
  <si>
    <t>Bettie Conrad</t>
  </si>
  <si>
    <t>Moved to Hungary. Became independently wealthy</t>
  </si>
  <si>
    <t>Anne Page</t>
  </si>
  <si>
    <t>National Athletic Development Coordinator, Singapore Aquatics</t>
  </si>
  <si>
    <t>Marylou Harmon</t>
  </si>
  <si>
    <t>Carl Frazier</t>
  </si>
  <si>
    <t>Queensland Coordinator. Welcoming Clubs Initiative, Welcoming Australia</t>
  </si>
  <si>
    <t>Leo Everett</t>
  </si>
  <si>
    <t>Associate Prof and Program Convenor for Sports Coaching, UQ (previously worked for Australian Sports Commission)</t>
  </si>
  <si>
    <t>Gerald Tanner</t>
  </si>
  <si>
    <t>Lecturer in Statistics, School of Health Sciences (Exercise Science), GU</t>
  </si>
  <si>
    <t>Alvaro Ellison</t>
  </si>
  <si>
    <t>Senior Research &amp; innovation Lead, FollowMe AI Pty Ltd. Also Youfor2032 Cycling Coach and PT Academic, GU</t>
  </si>
  <si>
    <t>Ernesto Newman</t>
  </si>
  <si>
    <t>Lecturer &amp; Researcher in Biomechanics &amp; Injury Prevention, Griffith Centre of Biomedical and Rehabilitation Engineering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</si>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</sst>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7"/>
      <color rgb="FF000000"/>
      <name val="Inherit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66" fontId="0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 indent="1"/>
    </xf>
    <xf numFmtId="164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vertical="center" wrapText="1"/>
    </xf>
    <xf numFmtId="1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1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Bình thường" xfId="0" builtinId="0"/>
    <cellStyle name="Tiền tệ" xfId="1" builtin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73F7-559C-4130-B4B8-051C46344770}">
  <sheetPr>
    <pageSetUpPr fitToPage="1"/>
  </sheetPr>
  <dimension ref="A1:AK56"/>
  <sheetViews>
    <sheetView tabSelected="1" zoomScale="85" zoomScaleNormal="85" workbookViewId="0">
      <selection sqref="A1:AI1"/>
    </sheetView>
  </sheetViews>
  <sheetFormatPr defaultColWidth="8.7109375" defaultRowHeight="15" customHeight="1"/>
  <cols>
    <col min="1" max="1" width="15.42578125" style="2" customWidth="1"/>
    <col min="2" max="2" width="12.28515625" style="2" customWidth="1"/>
    <col min="3" max="3" width="32.7109375" style="16" customWidth="1"/>
    <col min="4" max="4" width="12.42578125" style="16" customWidth="1"/>
    <col min="5" max="5" width="15" style="16" bestFit="1" customWidth="1"/>
    <col min="6" max="6" width="23.7109375" style="16" bestFit="1" customWidth="1"/>
    <col min="7" max="7" width="95.7109375" style="2" bestFit="1" customWidth="1"/>
    <col min="8" max="8" width="40.42578125" style="2" customWidth="1"/>
    <col min="9" max="10" width="23.28515625" style="2" customWidth="1"/>
    <col min="11" max="11" width="35.7109375" style="2" bestFit="1" customWidth="1"/>
    <col min="12" max="12" width="44.140625" style="2" customWidth="1"/>
    <col min="13" max="13" width="36" style="2" bestFit="1" customWidth="1"/>
    <col min="14" max="14" width="31.7109375" style="2" customWidth="1"/>
    <col min="15" max="15" width="54.28515625" style="2" bestFit="1" customWidth="1"/>
    <col min="16" max="17" width="12.7109375" style="9" customWidth="1"/>
    <col min="18" max="18" width="14.85546875" style="16" customWidth="1"/>
    <col min="19" max="19" width="12.28515625" style="16" customWidth="1"/>
    <col min="20" max="20" width="9.28515625" style="16" bestFit="1" customWidth="1"/>
    <col min="21" max="21" width="12.42578125" style="16" customWidth="1"/>
    <col min="22" max="22" width="11.85546875" style="16" customWidth="1"/>
    <col min="23" max="24" width="14.42578125" style="16" customWidth="1"/>
    <col min="25" max="25" width="11.85546875" style="16" customWidth="1"/>
    <col min="26" max="26" width="8.7109375" style="16"/>
    <col min="27" max="32" width="11.42578125" style="16" customWidth="1"/>
    <col min="33" max="33" width="8.7109375" style="16"/>
    <col min="34" max="34" width="11.28515625" style="16" customWidth="1"/>
    <col min="35" max="35" width="12.7109375" style="16" customWidth="1"/>
    <col min="36" max="36" width="8.7109375" style="16"/>
    <col min="37" max="37" width="9" bestFit="1" customWidth="1"/>
  </cols>
  <sheetData>
    <row r="1" spans="1:37" s="1" customFormat="1" ht="56.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</row>
    <row r="2" spans="1:37">
      <c r="A2" s="29" t="s">
        <v>35</v>
      </c>
      <c r="B2" s="29">
        <v>80</v>
      </c>
      <c r="C2" s="11" t="s">
        <v>36</v>
      </c>
      <c r="D2" s="11" t="b">
        <v>1</v>
      </c>
      <c r="E2" s="11" t="s">
        <v>37</v>
      </c>
      <c r="F2" s="11" t="s">
        <v>38</v>
      </c>
      <c r="G2" s="29" t="s">
        <v>39</v>
      </c>
      <c r="H2" s="30" t="s">
        <v>40</v>
      </c>
      <c r="I2" s="31" t="s">
        <v>41</v>
      </c>
      <c r="J2" s="31" t="s">
        <v>42</v>
      </c>
      <c r="K2" s="31" t="s">
        <v>43</v>
      </c>
      <c r="L2" s="31" t="s">
        <v>43</v>
      </c>
      <c r="M2" s="31" t="s">
        <v>44</v>
      </c>
      <c r="N2" s="31" t="s">
        <v>45</v>
      </c>
      <c r="O2" s="31" t="s">
        <v>46</v>
      </c>
      <c r="P2" s="32" t="s">
        <v>47</v>
      </c>
      <c r="Q2" s="32" t="s">
        <v>48</v>
      </c>
      <c r="R2" s="13">
        <v>90000</v>
      </c>
      <c r="S2" s="13">
        <v>45000</v>
      </c>
      <c r="T2" s="33">
        <f t="shared" ref="T2:T45" si="0">R2+S2</f>
        <v>135000</v>
      </c>
      <c r="U2" s="11" t="s">
        <v>49</v>
      </c>
      <c r="V2" s="11" t="s">
        <v>49</v>
      </c>
      <c r="W2" s="11" t="s">
        <v>49</v>
      </c>
      <c r="X2" s="11" t="s">
        <v>49</v>
      </c>
      <c r="Y2" s="11" t="s">
        <v>49</v>
      </c>
      <c r="Z2" s="11" t="s">
        <v>50</v>
      </c>
      <c r="AA2" s="11" t="s">
        <v>49</v>
      </c>
      <c r="AB2" s="11" t="s">
        <v>49</v>
      </c>
      <c r="AC2" s="11" t="s">
        <v>49</v>
      </c>
      <c r="AD2" s="11" t="s">
        <v>49</v>
      </c>
      <c r="AE2" s="11" t="s">
        <v>49</v>
      </c>
      <c r="AF2" s="11" t="s">
        <v>49</v>
      </c>
      <c r="AG2" s="11" t="s">
        <v>41</v>
      </c>
      <c r="AH2" s="29">
        <v>4</v>
      </c>
      <c r="AI2" s="29">
        <v>3</v>
      </c>
      <c r="AK2" s="10"/>
    </row>
    <row r="3" spans="1:37">
      <c r="A3" s="29" t="s">
        <v>35</v>
      </c>
      <c r="B3" s="29">
        <v>141</v>
      </c>
      <c r="C3" s="11" t="s">
        <v>51</v>
      </c>
      <c r="D3" s="11" t="b">
        <v>1</v>
      </c>
      <c r="E3" s="11" t="s">
        <v>37</v>
      </c>
      <c r="F3" s="11" t="s">
        <v>52</v>
      </c>
      <c r="G3" s="29" t="s">
        <v>53</v>
      </c>
      <c r="H3" s="34" t="s">
        <v>54</v>
      </c>
      <c r="I3" s="31" t="s">
        <v>41</v>
      </c>
      <c r="J3" s="31" t="s">
        <v>42</v>
      </c>
      <c r="K3" s="31" t="s">
        <v>55</v>
      </c>
      <c r="L3" s="31" t="s">
        <v>41</v>
      </c>
      <c r="M3" s="31" t="s">
        <v>56</v>
      </c>
      <c r="N3" s="31" t="s">
        <v>56</v>
      </c>
      <c r="O3" s="31" t="s">
        <v>57</v>
      </c>
      <c r="P3" s="32" t="s">
        <v>58</v>
      </c>
      <c r="Q3" s="32" t="s">
        <v>59</v>
      </c>
      <c r="R3" s="13">
        <v>289626</v>
      </c>
      <c r="S3" s="13">
        <v>120001</v>
      </c>
      <c r="T3" s="33">
        <f t="shared" si="0"/>
        <v>409627</v>
      </c>
      <c r="U3" s="11" t="s">
        <v>49</v>
      </c>
      <c r="V3" s="11" t="s">
        <v>49</v>
      </c>
      <c r="W3" s="11" t="s">
        <v>49</v>
      </c>
      <c r="X3" s="11" t="s">
        <v>49</v>
      </c>
      <c r="Y3" s="11" t="s">
        <v>49</v>
      </c>
      <c r="Z3" s="11" t="s">
        <v>49</v>
      </c>
      <c r="AA3" s="11" t="s">
        <v>49</v>
      </c>
      <c r="AB3" s="11" t="s">
        <v>50</v>
      </c>
      <c r="AC3" s="11" t="s">
        <v>49</v>
      </c>
      <c r="AD3" s="11" t="s">
        <v>49</v>
      </c>
      <c r="AE3" s="11" t="s">
        <v>49</v>
      </c>
      <c r="AF3" s="11" t="s">
        <v>50</v>
      </c>
      <c r="AG3" s="11" t="s">
        <v>41</v>
      </c>
      <c r="AH3" s="29">
        <v>0</v>
      </c>
      <c r="AI3" s="29">
        <v>0</v>
      </c>
    </row>
    <row r="4" spans="1:37">
      <c r="A4" s="29" t="s">
        <v>35</v>
      </c>
      <c r="B4" s="29">
        <v>142</v>
      </c>
      <c r="C4" s="11" t="s">
        <v>60</v>
      </c>
      <c r="D4" s="11" t="b">
        <v>1</v>
      </c>
      <c r="E4" s="11" t="s">
        <v>61</v>
      </c>
      <c r="F4" s="11" t="s">
        <v>62</v>
      </c>
      <c r="G4" s="29" t="s">
        <v>63</v>
      </c>
      <c r="H4" s="34" t="s">
        <v>54</v>
      </c>
      <c r="I4" s="31" t="s">
        <v>64</v>
      </c>
      <c r="J4" s="31" t="s">
        <v>65</v>
      </c>
      <c r="K4" s="31" t="s">
        <v>66</v>
      </c>
      <c r="L4" s="31" t="s">
        <v>41</v>
      </c>
      <c r="M4" s="31" t="s">
        <v>67</v>
      </c>
      <c r="N4" s="31" t="s">
        <v>67</v>
      </c>
      <c r="O4" s="31" t="s">
        <v>68</v>
      </c>
      <c r="P4" s="32" t="s">
        <v>69</v>
      </c>
      <c r="Q4" s="32" t="s">
        <v>70</v>
      </c>
      <c r="R4" s="14">
        <v>25116</v>
      </c>
      <c r="S4" s="14">
        <v>15000</v>
      </c>
      <c r="T4" s="33">
        <f t="shared" si="0"/>
        <v>40116</v>
      </c>
      <c r="U4" s="11" t="s">
        <v>49</v>
      </c>
      <c r="V4" s="11" t="s">
        <v>49</v>
      </c>
      <c r="W4" s="11" t="s">
        <v>49</v>
      </c>
      <c r="X4" s="11" t="s">
        <v>49</v>
      </c>
      <c r="Y4" s="11" t="s">
        <v>49</v>
      </c>
      <c r="Z4" s="11" t="s">
        <v>49</v>
      </c>
      <c r="AA4" s="11" t="s">
        <v>49</v>
      </c>
      <c r="AB4" s="11" t="s">
        <v>50</v>
      </c>
      <c r="AC4" s="11" t="s">
        <v>50</v>
      </c>
      <c r="AD4" s="11" t="s">
        <v>50</v>
      </c>
      <c r="AE4" s="11" t="s">
        <v>49</v>
      </c>
      <c r="AF4" s="11" t="s">
        <v>49</v>
      </c>
      <c r="AG4" s="11" t="s">
        <v>41</v>
      </c>
      <c r="AH4" s="29">
        <v>5</v>
      </c>
      <c r="AI4" s="29">
        <v>1</v>
      </c>
    </row>
    <row r="5" spans="1:37">
      <c r="A5" s="29" t="s">
        <v>35</v>
      </c>
      <c r="B5" s="29">
        <v>145</v>
      </c>
      <c r="C5" s="11" t="s">
        <v>71</v>
      </c>
      <c r="D5" s="11" t="b">
        <v>1</v>
      </c>
      <c r="E5" s="11" t="s">
        <v>37</v>
      </c>
      <c r="F5" s="11" t="s">
        <v>72</v>
      </c>
      <c r="G5" s="29" t="s">
        <v>73</v>
      </c>
      <c r="H5" s="34" t="s">
        <v>54</v>
      </c>
      <c r="I5" s="31" t="s">
        <v>41</v>
      </c>
      <c r="J5" s="31" t="s">
        <v>42</v>
      </c>
      <c r="K5" s="31" t="s">
        <v>55</v>
      </c>
      <c r="L5" s="31" t="s">
        <v>55</v>
      </c>
      <c r="M5" s="31" t="s">
        <v>56</v>
      </c>
      <c r="N5" s="31" t="s">
        <v>74</v>
      </c>
      <c r="O5" s="31" t="s">
        <v>75</v>
      </c>
      <c r="P5" s="32" t="s">
        <v>69</v>
      </c>
      <c r="Q5" s="32" t="s">
        <v>70</v>
      </c>
      <c r="R5" s="14">
        <v>79849</v>
      </c>
      <c r="S5" s="14">
        <v>14899</v>
      </c>
      <c r="T5" s="33">
        <f t="shared" si="0"/>
        <v>94748</v>
      </c>
      <c r="U5" s="11" t="s">
        <v>49</v>
      </c>
      <c r="V5" s="11" t="s">
        <v>49</v>
      </c>
      <c r="W5" s="11" t="s">
        <v>49</v>
      </c>
      <c r="X5" s="11" t="s">
        <v>49</v>
      </c>
      <c r="Y5" s="11" t="s">
        <v>49</v>
      </c>
      <c r="Z5" s="11" t="s">
        <v>49</v>
      </c>
      <c r="AA5" s="11" t="s">
        <v>49</v>
      </c>
      <c r="AB5" s="11" t="s">
        <v>49</v>
      </c>
      <c r="AC5" s="11" t="s">
        <v>49</v>
      </c>
      <c r="AD5" s="11" t="s">
        <v>49</v>
      </c>
      <c r="AE5" s="11" t="s">
        <v>41</v>
      </c>
      <c r="AF5" s="11" t="s">
        <v>41</v>
      </c>
      <c r="AG5" s="11" t="s">
        <v>41</v>
      </c>
      <c r="AH5" s="29">
        <v>4</v>
      </c>
      <c r="AI5" s="29">
        <v>0</v>
      </c>
    </row>
    <row r="6" spans="1:37">
      <c r="A6" s="29" t="s">
        <v>35</v>
      </c>
      <c r="B6" s="29">
        <v>152</v>
      </c>
      <c r="C6" s="11" t="s">
        <v>76</v>
      </c>
      <c r="D6" s="11" t="b">
        <v>1</v>
      </c>
      <c r="E6" s="11" t="s">
        <v>37</v>
      </c>
      <c r="F6" s="11" t="s">
        <v>77</v>
      </c>
      <c r="G6" s="29" t="s">
        <v>78</v>
      </c>
      <c r="H6" s="35" t="s">
        <v>54</v>
      </c>
      <c r="I6" s="31" t="s">
        <v>79</v>
      </c>
      <c r="J6" s="31" t="s">
        <v>80</v>
      </c>
      <c r="K6" s="31" t="s">
        <v>43</v>
      </c>
      <c r="L6" s="31" t="s">
        <v>41</v>
      </c>
      <c r="M6" s="31" t="s">
        <v>44</v>
      </c>
      <c r="N6" s="31" t="s">
        <v>81</v>
      </c>
      <c r="O6" s="31" t="s">
        <v>82</v>
      </c>
      <c r="P6" s="32" t="s">
        <v>69</v>
      </c>
      <c r="Q6" s="32" t="s">
        <v>70</v>
      </c>
      <c r="R6" s="14">
        <v>276192.8</v>
      </c>
      <c r="S6" s="14">
        <v>67964.61</v>
      </c>
      <c r="T6" s="33">
        <f t="shared" si="0"/>
        <v>344157.41</v>
      </c>
      <c r="U6" s="11" t="s">
        <v>49</v>
      </c>
      <c r="V6" s="11" t="s">
        <v>49</v>
      </c>
      <c r="W6" s="11" t="s">
        <v>49</v>
      </c>
      <c r="X6" s="11" t="s">
        <v>49</v>
      </c>
      <c r="Y6" s="11" t="s">
        <v>49</v>
      </c>
      <c r="Z6" s="11" t="s">
        <v>49</v>
      </c>
      <c r="AA6" s="11" t="s">
        <v>49</v>
      </c>
      <c r="AB6" s="11" t="s">
        <v>49</v>
      </c>
      <c r="AC6" s="11" t="s">
        <v>49</v>
      </c>
      <c r="AD6" s="11" t="s">
        <v>49</v>
      </c>
      <c r="AE6" s="11" t="s">
        <v>49</v>
      </c>
      <c r="AF6" s="11" t="s">
        <v>49</v>
      </c>
      <c r="AG6" s="11" t="s">
        <v>41</v>
      </c>
      <c r="AH6" s="29">
        <v>14</v>
      </c>
      <c r="AI6" s="29">
        <v>1</v>
      </c>
    </row>
    <row r="7" spans="1:37">
      <c r="A7" s="29" t="s">
        <v>83</v>
      </c>
      <c r="B7" s="28">
        <v>172</v>
      </c>
      <c r="C7" s="11" t="s">
        <v>84</v>
      </c>
      <c r="D7" s="11" t="b">
        <v>1</v>
      </c>
      <c r="E7" s="11" t="s">
        <v>37</v>
      </c>
      <c r="F7" s="11" t="s">
        <v>85</v>
      </c>
      <c r="G7" s="29" t="s">
        <v>86</v>
      </c>
      <c r="H7" s="34" t="s">
        <v>54</v>
      </c>
      <c r="I7" s="31" t="s">
        <v>87</v>
      </c>
      <c r="J7" s="31" t="s">
        <v>42</v>
      </c>
      <c r="K7" s="31" t="s">
        <v>66</v>
      </c>
      <c r="L7" s="31" t="s">
        <v>66</v>
      </c>
      <c r="M7" s="31" t="s">
        <v>67</v>
      </c>
      <c r="N7" s="31" t="s">
        <v>67</v>
      </c>
      <c r="O7" s="31" t="s">
        <v>88</v>
      </c>
      <c r="P7" s="32" t="s">
        <v>89</v>
      </c>
      <c r="Q7" s="32" t="s">
        <v>90</v>
      </c>
      <c r="R7" s="14">
        <v>118766</v>
      </c>
      <c r="S7" s="14">
        <v>39000</v>
      </c>
      <c r="T7" s="33">
        <f t="shared" si="0"/>
        <v>157766</v>
      </c>
      <c r="U7" s="11" t="s">
        <v>50</v>
      </c>
      <c r="V7" s="11" t="s">
        <v>50</v>
      </c>
      <c r="W7" s="11" t="s">
        <v>50</v>
      </c>
      <c r="X7" s="11" t="s">
        <v>50</v>
      </c>
      <c r="Y7" s="11" t="s">
        <v>50</v>
      </c>
      <c r="Z7" s="11" t="s">
        <v>50</v>
      </c>
      <c r="AA7" s="11" t="s">
        <v>50</v>
      </c>
      <c r="AB7" s="11" t="s">
        <v>50</v>
      </c>
      <c r="AC7" s="11" t="s">
        <v>50</v>
      </c>
      <c r="AD7" s="11" t="s">
        <v>50</v>
      </c>
      <c r="AE7" s="11" t="s">
        <v>41</v>
      </c>
      <c r="AF7" s="11" t="s">
        <v>41</v>
      </c>
      <c r="AG7" s="11" t="s">
        <v>41</v>
      </c>
      <c r="AH7" s="29">
        <v>0</v>
      </c>
      <c r="AI7" s="29">
        <v>0</v>
      </c>
    </row>
    <row r="8" spans="1:37">
      <c r="A8" s="29" t="s">
        <v>35</v>
      </c>
      <c r="B8" s="29">
        <v>154</v>
      </c>
      <c r="C8" s="11" t="s">
        <v>91</v>
      </c>
      <c r="D8" s="11" t="b">
        <v>1</v>
      </c>
      <c r="E8" s="11" t="s">
        <v>37</v>
      </c>
      <c r="F8" s="11" t="s">
        <v>92</v>
      </c>
      <c r="G8" s="29" t="s">
        <v>93</v>
      </c>
      <c r="H8" s="34" t="s">
        <v>54</v>
      </c>
      <c r="I8" s="31" t="s">
        <v>94</v>
      </c>
      <c r="J8" s="31" t="s">
        <v>95</v>
      </c>
      <c r="K8" s="31" t="s">
        <v>55</v>
      </c>
      <c r="L8" s="31" t="s">
        <v>55</v>
      </c>
      <c r="M8" s="31" t="s">
        <v>56</v>
      </c>
      <c r="N8" s="31" t="s">
        <v>56</v>
      </c>
      <c r="O8" s="31" t="s">
        <v>96</v>
      </c>
      <c r="P8" s="32" t="s">
        <v>97</v>
      </c>
      <c r="Q8" s="32" t="s">
        <v>98</v>
      </c>
      <c r="R8" s="14">
        <v>125000</v>
      </c>
      <c r="S8" s="14">
        <v>38000</v>
      </c>
      <c r="T8" s="33">
        <f t="shared" si="0"/>
        <v>163000</v>
      </c>
      <c r="U8" s="11" t="s">
        <v>49</v>
      </c>
      <c r="V8" s="11" t="s">
        <v>49</v>
      </c>
      <c r="W8" s="11" t="s">
        <v>49</v>
      </c>
      <c r="X8" s="11" t="s">
        <v>49</v>
      </c>
      <c r="Y8" s="11" t="s">
        <v>49</v>
      </c>
      <c r="Z8" s="11" t="s">
        <v>49</v>
      </c>
      <c r="AA8" s="11" t="s">
        <v>49</v>
      </c>
      <c r="AB8" s="11" t="s">
        <v>49</v>
      </c>
      <c r="AC8" s="11" t="s">
        <v>49</v>
      </c>
      <c r="AD8" s="11" t="s">
        <v>49</v>
      </c>
      <c r="AE8" s="11" t="s">
        <v>49</v>
      </c>
      <c r="AF8" s="11" t="s">
        <v>49</v>
      </c>
      <c r="AG8" s="11" t="s">
        <v>41</v>
      </c>
      <c r="AH8" s="29">
        <v>10</v>
      </c>
      <c r="AI8" s="29">
        <v>3</v>
      </c>
    </row>
    <row r="9" spans="1:37" ht="15.95" thickBot="1">
      <c r="A9" s="29" t="s">
        <v>35</v>
      </c>
      <c r="B9" s="29">
        <v>156</v>
      </c>
      <c r="C9" s="11" t="s">
        <v>99</v>
      </c>
      <c r="D9" s="11" t="b">
        <v>1</v>
      </c>
      <c r="E9" s="11" t="s">
        <v>37</v>
      </c>
      <c r="F9" s="11" t="s">
        <v>100</v>
      </c>
      <c r="G9" s="29" t="s">
        <v>101</v>
      </c>
      <c r="H9" s="34" t="s">
        <v>102</v>
      </c>
      <c r="I9" s="31" t="s">
        <v>41</v>
      </c>
      <c r="J9" s="31" t="s">
        <v>42</v>
      </c>
      <c r="K9" s="31" t="s">
        <v>43</v>
      </c>
      <c r="L9" s="31" t="s">
        <v>41</v>
      </c>
      <c r="M9" s="31" t="s">
        <v>44</v>
      </c>
      <c r="N9" s="31" t="s">
        <v>74</v>
      </c>
      <c r="O9" s="31" t="s">
        <v>96</v>
      </c>
      <c r="P9" s="32" t="s">
        <v>97</v>
      </c>
      <c r="Q9" s="32" t="s">
        <v>98</v>
      </c>
      <c r="R9" s="14">
        <v>130340</v>
      </c>
      <c r="S9" s="14">
        <v>37500</v>
      </c>
      <c r="T9" s="33">
        <f t="shared" si="0"/>
        <v>167840</v>
      </c>
      <c r="U9" s="11" t="s">
        <v>49</v>
      </c>
      <c r="V9" s="11" t="s">
        <v>49</v>
      </c>
      <c r="W9" s="11" t="s">
        <v>49</v>
      </c>
      <c r="X9" s="11" t="s">
        <v>49</v>
      </c>
      <c r="Y9" s="11" t="s">
        <v>49</v>
      </c>
      <c r="Z9" s="11" t="s">
        <v>49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41</v>
      </c>
      <c r="AH9" s="29">
        <v>0</v>
      </c>
      <c r="AI9" s="29">
        <v>0</v>
      </c>
    </row>
    <row r="10" spans="1:37">
      <c r="A10" s="29" t="s">
        <v>35</v>
      </c>
      <c r="B10" s="29">
        <v>159</v>
      </c>
      <c r="C10" s="11" t="s">
        <v>103</v>
      </c>
      <c r="D10" s="11" t="b">
        <v>1</v>
      </c>
      <c r="E10" s="11" t="s">
        <v>37</v>
      </c>
      <c r="F10" s="11" t="s">
        <v>104</v>
      </c>
      <c r="G10" s="29" t="s">
        <v>105</v>
      </c>
      <c r="H10" s="34" t="s">
        <v>106</v>
      </c>
      <c r="I10" s="31" t="s">
        <v>107</v>
      </c>
      <c r="J10" s="31" t="s">
        <v>42</v>
      </c>
      <c r="K10" s="31" t="s">
        <v>43</v>
      </c>
      <c r="L10" s="31" t="s">
        <v>41</v>
      </c>
      <c r="M10" s="31" t="s">
        <v>44</v>
      </c>
      <c r="N10" s="31" t="s">
        <v>108</v>
      </c>
      <c r="O10" s="31" t="s">
        <v>82</v>
      </c>
      <c r="P10" s="32" t="s">
        <v>109</v>
      </c>
      <c r="Q10" s="32" t="s">
        <v>110</v>
      </c>
      <c r="R10" s="14">
        <v>159448</v>
      </c>
      <c r="S10" s="14">
        <v>83452</v>
      </c>
      <c r="T10" s="33">
        <f t="shared" si="0"/>
        <v>242900</v>
      </c>
      <c r="U10" s="11" t="s">
        <v>49</v>
      </c>
      <c r="V10" s="11" t="s">
        <v>49</v>
      </c>
      <c r="W10" s="11" t="s">
        <v>49</v>
      </c>
      <c r="X10" s="11" t="s">
        <v>49</v>
      </c>
      <c r="Y10" s="11" t="s">
        <v>49</v>
      </c>
      <c r="Z10" s="11" t="s">
        <v>49</v>
      </c>
      <c r="AA10" s="11" t="s">
        <v>49</v>
      </c>
      <c r="AB10" s="11" t="s">
        <v>49</v>
      </c>
      <c r="AC10" s="11" t="s">
        <v>49</v>
      </c>
      <c r="AD10" s="11" t="s">
        <v>49</v>
      </c>
      <c r="AE10" s="11" t="s">
        <v>41</v>
      </c>
      <c r="AF10" s="11" t="s">
        <v>41</v>
      </c>
      <c r="AG10" s="11" t="s">
        <v>41</v>
      </c>
      <c r="AH10" s="29">
        <v>0</v>
      </c>
      <c r="AI10" s="29">
        <v>0</v>
      </c>
    </row>
    <row r="11" spans="1:37" ht="15.95" thickBot="1">
      <c r="A11" s="29" t="s">
        <v>35</v>
      </c>
      <c r="B11" s="29">
        <v>160</v>
      </c>
      <c r="C11" s="11" t="s">
        <v>111</v>
      </c>
      <c r="D11" s="11" t="b">
        <v>1</v>
      </c>
      <c r="E11" s="11" t="s">
        <v>37</v>
      </c>
      <c r="F11" s="11" t="s">
        <v>112</v>
      </c>
      <c r="G11" s="29" t="s">
        <v>113</v>
      </c>
      <c r="H11" s="34" t="s">
        <v>114</v>
      </c>
      <c r="I11" s="31" t="s">
        <v>41</v>
      </c>
      <c r="J11" s="31" t="s">
        <v>42</v>
      </c>
      <c r="K11" s="31" t="s">
        <v>43</v>
      </c>
      <c r="L11" s="31" t="s">
        <v>41</v>
      </c>
      <c r="M11" s="31" t="s">
        <v>115</v>
      </c>
      <c r="N11" s="31" t="s">
        <v>116</v>
      </c>
      <c r="O11" s="31" t="s">
        <v>82</v>
      </c>
      <c r="P11" s="32" t="s">
        <v>109</v>
      </c>
      <c r="Q11" s="32" t="s">
        <v>110</v>
      </c>
      <c r="R11" s="14">
        <v>83664</v>
      </c>
      <c r="S11" s="14">
        <v>56336</v>
      </c>
      <c r="T11" s="33">
        <f t="shared" si="0"/>
        <v>140000</v>
      </c>
      <c r="U11" s="11" t="s">
        <v>49</v>
      </c>
      <c r="V11" s="11" t="s">
        <v>49</v>
      </c>
      <c r="W11" s="11" t="s">
        <v>49</v>
      </c>
      <c r="X11" s="11" t="s">
        <v>49</v>
      </c>
      <c r="Y11" s="11" t="s">
        <v>49</v>
      </c>
      <c r="Z11" s="11" t="s">
        <v>49</v>
      </c>
      <c r="AA11" s="11" t="s">
        <v>49</v>
      </c>
      <c r="AB11" s="11" t="s">
        <v>49</v>
      </c>
      <c r="AC11" s="11" t="s">
        <v>49</v>
      </c>
      <c r="AD11" s="11" t="s">
        <v>49</v>
      </c>
      <c r="AE11" s="11" t="s">
        <v>41</v>
      </c>
      <c r="AF11" s="11" t="s">
        <v>41</v>
      </c>
      <c r="AG11" s="11" t="s">
        <v>41</v>
      </c>
      <c r="AH11" s="29">
        <v>0</v>
      </c>
      <c r="AI11" s="29">
        <v>0</v>
      </c>
    </row>
    <row r="12" spans="1:37" ht="15.95" thickBot="1">
      <c r="A12" s="29" t="s">
        <v>35</v>
      </c>
      <c r="B12" s="29">
        <v>161</v>
      </c>
      <c r="C12" s="11" t="s">
        <v>117</v>
      </c>
      <c r="D12" s="11" t="b">
        <v>1</v>
      </c>
      <c r="E12" s="11" t="s">
        <v>37</v>
      </c>
      <c r="F12" s="11" t="s">
        <v>118</v>
      </c>
      <c r="G12" s="29" t="s">
        <v>119</v>
      </c>
      <c r="H12" s="34" t="s">
        <v>120</v>
      </c>
      <c r="I12" s="31" t="s">
        <v>41</v>
      </c>
      <c r="J12" s="31" t="s">
        <v>121</v>
      </c>
      <c r="K12" s="31" t="s">
        <v>122</v>
      </c>
      <c r="L12" s="31" t="s">
        <v>123</v>
      </c>
      <c r="M12" s="31" t="s">
        <v>44</v>
      </c>
      <c r="N12" s="31" t="s">
        <v>124</v>
      </c>
      <c r="O12" s="31" t="s">
        <v>82</v>
      </c>
      <c r="P12" s="32" t="s">
        <v>109</v>
      </c>
      <c r="Q12" s="32" t="s">
        <v>110</v>
      </c>
      <c r="R12" s="14">
        <v>87500</v>
      </c>
      <c r="S12" s="14">
        <v>112500</v>
      </c>
      <c r="T12" s="33">
        <f t="shared" si="0"/>
        <v>200000</v>
      </c>
      <c r="U12" s="11" t="s">
        <v>49</v>
      </c>
      <c r="V12" s="11" t="s">
        <v>49</v>
      </c>
      <c r="W12" s="11" t="s">
        <v>49</v>
      </c>
      <c r="X12" s="11" t="s">
        <v>49</v>
      </c>
      <c r="Y12" s="11" t="s">
        <v>49</v>
      </c>
      <c r="Z12" s="11" t="s">
        <v>49</v>
      </c>
      <c r="AA12" s="11" t="s">
        <v>49</v>
      </c>
      <c r="AB12" s="11" t="s">
        <v>49</v>
      </c>
      <c r="AC12" s="11" t="s">
        <v>49</v>
      </c>
      <c r="AD12" s="11" t="s">
        <v>49</v>
      </c>
      <c r="AE12" s="11" t="s">
        <v>41</v>
      </c>
      <c r="AF12" s="11" t="s">
        <v>41</v>
      </c>
      <c r="AG12" s="11" t="s">
        <v>41</v>
      </c>
      <c r="AH12" s="29">
        <v>0</v>
      </c>
      <c r="AI12" s="29">
        <v>0</v>
      </c>
    </row>
    <row r="13" spans="1:37" ht="15.95" thickBot="1">
      <c r="A13" s="29" t="s">
        <v>35</v>
      </c>
      <c r="B13" s="31" t="s">
        <v>41</v>
      </c>
      <c r="C13" s="11" t="s">
        <v>125</v>
      </c>
      <c r="D13" s="11" t="b">
        <v>1</v>
      </c>
      <c r="E13" s="11" t="s">
        <v>37</v>
      </c>
      <c r="F13" s="11" t="s">
        <v>126</v>
      </c>
      <c r="G13" s="29" t="s">
        <v>127</v>
      </c>
      <c r="H13" s="34" t="s">
        <v>120</v>
      </c>
      <c r="I13" s="31" t="s">
        <v>41</v>
      </c>
      <c r="J13" s="29" t="s">
        <v>121</v>
      </c>
      <c r="K13" s="31" t="s">
        <v>122</v>
      </c>
      <c r="L13" s="31" t="s">
        <v>123</v>
      </c>
      <c r="M13" s="31" t="s">
        <v>44</v>
      </c>
      <c r="N13" s="31" t="s">
        <v>124</v>
      </c>
      <c r="O13" s="31" t="s">
        <v>82</v>
      </c>
      <c r="P13" s="32" t="s">
        <v>109</v>
      </c>
      <c r="Q13" s="32" t="s">
        <v>110</v>
      </c>
      <c r="R13" s="14">
        <v>122788.5</v>
      </c>
      <c r="S13" s="14">
        <v>45000</v>
      </c>
      <c r="T13" s="13">
        <f t="shared" si="0"/>
        <v>167788.5</v>
      </c>
      <c r="U13" s="11" t="s">
        <v>49</v>
      </c>
      <c r="V13" s="11" t="s">
        <v>49</v>
      </c>
      <c r="W13" s="11" t="s">
        <v>49</v>
      </c>
      <c r="X13" s="11" t="s">
        <v>49</v>
      </c>
      <c r="Y13" s="11" t="s">
        <v>49</v>
      </c>
      <c r="Z13" s="11" t="s">
        <v>49</v>
      </c>
      <c r="AA13" s="11" t="s">
        <v>49</v>
      </c>
      <c r="AB13" s="11" t="s">
        <v>49</v>
      </c>
      <c r="AC13" s="11" t="s">
        <v>49</v>
      </c>
      <c r="AD13" s="11" t="s">
        <v>49</v>
      </c>
      <c r="AE13" s="11" t="s">
        <v>41</v>
      </c>
      <c r="AF13" s="11" t="s">
        <v>41</v>
      </c>
      <c r="AG13" s="11" t="s">
        <v>41</v>
      </c>
      <c r="AH13" s="29">
        <v>0</v>
      </c>
      <c r="AI13" s="29">
        <v>0</v>
      </c>
    </row>
    <row r="14" spans="1:37" ht="15.95" thickBot="1">
      <c r="A14" s="29" t="s">
        <v>35</v>
      </c>
      <c r="B14" s="29">
        <v>162</v>
      </c>
      <c r="C14" s="11" t="s">
        <v>128</v>
      </c>
      <c r="D14" s="11" t="b">
        <v>1</v>
      </c>
      <c r="E14" s="11" t="s">
        <v>37</v>
      </c>
      <c r="F14" s="11" t="s">
        <v>52</v>
      </c>
      <c r="G14" s="29" t="s">
        <v>129</v>
      </c>
      <c r="H14" s="34" t="s">
        <v>120</v>
      </c>
      <c r="I14" s="31" t="s">
        <v>41</v>
      </c>
      <c r="J14" s="31" t="s">
        <v>42</v>
      </c>
      <c r="K14" s="31" t="s">
        <v>130</v>
      </c>
      <c r="L14" s="31" t="s">
        <v>41</v>
      </c>
      <c r="M14" s="31" t="s">
        <v>131</v>
      </c>
      <c r="N14" s="31" t="s">
        <v>131</v>
      </c>
      <c r="O14" s="31" t="s">
        <v>82</v>
      </c>
      <c r="P14" s="32" t="s">
        <v>109</v>
      </c>
      <c r="Q14" s="32" t="s">
        <v>132</v>
      </c>
      <c r="R14" s="14">
        <v>6500</v>
      </c>
      <c r="S14" s="14">
        <v>6500</v>
      </c>
      <c r="T14" s="13">
        <f t="shared" si="0"/>
        <v>13000</v>
      </c>
      <c r="U14" s="11" t="s">
        <v>49</v>
      </c>
      <c r="V14" s="11" t="s">
        <v>49</v>
      </c>
      <c r="W14" s="11" t="s">
        <v>49</v>
      </c>
      <c r="X14" s="11" t="s">
        <v>49</v>
      </c>
      <c r="Y14" s="11" t="s">
        <v>49</v>
      </c>
      <c r="Z14" s="11" t="s">
        <v>49</v>
      </c>
      <c r="AA14" s="11" t="s">
        <v>49</v>
      </c>
      <c r="AB14" s="11" t="s">
        <v>49</v>
      </c>
      <c r="AC14" s="11" t="s">
        <v>49</v>
      </c>
      <c r="AD14" s="11" t="s">
        <v>49</v>
      </c>
      <c r="AE14" s="11" t="s">
        <v>41</v>
      </c>
      <c r="AF14" s="11" t="s">
        <v>41</v>
      </c>
      <c r="AG14" s="11" t="s">
        <v>41</v>
      </c>
      <c r="AH14" s="29">
        <v>0</v>
      </c>
      <c r="AI14" s="29">
        <v>0</v>
      </c>
    </row>
    <row r="15" spans="1:37" ht="15.95" thickBot="1">
      <c r="A15" s="29" t="s">
        <v>35</v>
      </c>
      <c r="B15" s="29">
        <v>163</v>
      </c>
      <c r="C15" s="11" t="s">
        <v>133</v>
      </c>
      <c r="D15" s="11" t="b">
        <v>1</v>
      </c>
      <c r="E15" s="11" t="s">
        <v>134</v>
      </c>
      <c r="F15" s="11" t="s">
        <v>41</v>
      </c>
      <c r="G15" s="29" t="s">
        <v>135</v>
      </c>
      <c r="H15" s="34" t="s">
        <v>120</v>
      </c>
      <c r="I15" s="31" t="s">
        <v>136</v>
      </c>
      <c r="J15" s="31" t="s">
        <v>42</v>
      </c>
      <c r="K15" s="31" t="s">
        <v>43</v>
      </c>
      <c r="L15" s="31" t="s">
        <v>41</v>
      </c>
      <c r="M15" s="31" t="s">
        <v>44</v>
      </c>
      <c r="N15" s="31" t="s">
        <v>56</v>
      </c>
      <c r="O15" s="31" t="s">
        <v>82</v>
      </c>
      <c r="P15" s="32" t="s">
        <v>109</v>
      </c>
      <c r="Q15" s="32" t="s">
        <v>110</v>
      </c>
      <c r="R15" s="14">
        <v>25116</v>
      </c>
      <c r="S15" s="14">
        <v>15000</v>
      </c>
      <c r="T15" s="13">
        <f t="shared" si="0"/>
        <v>40116</v>
      </c>
      <c r="U15" s="11" t="s">
        <v>49</v>
      </c>
      <c r="V15" s="11" t="s">
        <v>49</v>
      </c>
      <c r="W15" s="11" t="s">
        <v>49</v>
      </c>
      <c r="X15" s="11" t="s">
        <v>49</v>
      </c>
      <c r="Y15" s="11" t="s">
        <v>49</v>
      </c>
      <c r="Z15" s="11" t="s">
        <v>49</v>
      </c>
      <c r="AA15" s="11" t="s">
        <v>49</v>
      </c>
      <c r="AB15" s="11" t="s">
        <v>49</v>
      </c>
      <c r="AC15" s="11" t="s">
        <v>49</v>
      </c>
      <c r="AD15" s="11" t="s">
        <v>49</v>
      </c>
      <c r="AE15" s="11" t="s">
        <v>41</v>
      </c>
      <c r="AF15" s="11" t="s">
        <v>41</v>
      </c>
      <c r="AG15" s="11" t="s">
        <v>41</v>
      </c>
      <c r="AH15" s="29">
        <v>0</v>
      </c>
      <c r="AI15" s="29">
        <v>0</v>
      </c>
    </row>
    <row r="16" spans="1:37" ht="15.95" thickBot="1">
      <c r="A16" s="29" t="s">
        <v>35</v>
      </c>
      <c r="B16" s="29">
        <v>165</v>
      </c>
      <c r="C16" s="11" t="s">
        <v>137</v>
      </c>
      <c r="D16" s="11" t="b">
        <v>1</v>
      </c>
      <c r="E16" s="11" t="s">
        <v>37</v>
      </c>
      <c r="F16" s="11" t="s">
        <v>138</v>
      </c>
      <c r="G16" s="29" t="s">
        <v>139</v>
      </c>
      <c r="H16" s="34" t="s">
        <v>120</v>
      </c>
      <c r="I16" s="31" t="s">
        <v>41</v>
      </c>
      <c r="J16" s="31" t="s">
        <v>42</v>
      </c>
      <c r="K16" s="31" t="s">
        <v>140</v>
      </c>
      <c r="L16" s="31" t="s">
        <v>140</v>
      </c>
      <c r="M16" s="31" t="s">
        <v>140</v>
      </c>
      <c r="N16" s="31" t="s">
        <v>140</v>
      </c>
      <c r="O16" s="31" t="s">
        <v>82</v>
      </c>
      <c r="P16" s="32" t="s">
        <v>109</v>
      </c>
      <c r="Q16" s="32" t="s">
        <v>110</v>
      </c>
      <c r="R16" s="14">
        <v>79849</v>
      </c>
      <c r="S16" s="14">
        <v>14899</v>
      </c>
      <c r="T16" s="13">
        <f t="shared" si="0"/>
        <v>94748</v>
      </c>
      <c r="U16" s="11" t="s">
        <v>49</v>
      </c>
      <c r="V16" s="11" t="s">
        <v>49</v>
      </c>
      <c r="W16" s="11" t="s">
        <v>49</v>
      </c>
      <c r="X16" s="11" t="s">
        <v>49</v>
      </c>
      <c r="Y16" s="11" t="s">
        <v>49</v>
      </c>
      <c r="Z16" s="11" t="s">
        <v>50</v>
      </c>
      <c r="AA16" s="11" t="s">
        <v>49</v>
      </c>
      <c r="AB16" s="11" t="s">
        <v>49</v>
      </c>
      <c r="AC16" s="11" t="s">
        <v>49</v>
      </c>
      <c r="AD16" s="11" t="s">
        <v>49</v>
      </c>
      <c r="AE16" s="11" t="s">
        <v>41</v>
      </c>
      <c r="AF16" s="11" t="s">
        <v>50</v>
      </c>
      <c r="AG16" s="11" t="s">
        <v>41</v>
      </c>
      <c r="AH16" s="29">
        <v>0</v>
      </c>
      <c r="AI16" s="29">
        <v>0</v>
      </c>
    </row>
    <row r="17" spans="1:35" ht="15.95" thickBot="1">
      <c r="A17" s="29" t="s">
        <v>35</v>
      </c>
      <c r="B17" s="29">
        <v>166</v>
      </c>
      <c r="C17" s="11" t="s">
        <v>141</v>
      </c>
      <c r="D17" s="11" t="b">
        <v>1</v>
      </c>
      <c r="E17" s="11" t="s">
        <v>37</v>
      </c>
      <c r="F17" s="11" t="s">
        <v>142</v>
      </c>
      <c r="G17" s="29" t="s">
        <v>143</v>
      </c>
      <c r="H17" s="34" t="s">
        <v>120</v>
      </c>
      <c r="I17" s="31" t="s">
        <v>41</v>
      </c>
      <c r="J17" s="31" t="s">
        <v>144</v>
      </c>
      <c r="K17" s="31" t="s">
        <v>43</v>
      </c>
      <c r="L17" s="31" t="s">
        <v>41</v>
      </c>
      <c r="M17" s="31" t="s">
        <v>44</v>
      </c>
      <c r="N17" s="31" t="s">
        <v>145</v>
      </c>
      <c r="O17" s="31" t="s">
        <v>146</v>
      </c>
      <c r="P17" s="32" t="s">
        <v>147</v>
      </c>
      <c r="Q17" s="32" t="s">
        <v>132</v>
      </c>
      <c r="R17" s="14">
        <v>276192.8</v>
      </c>
      <c r="S17" s="14">
        <v>67964.61</v>
      </c>
      <c r="T17" s="13">
        <f t="shared" si="0"/>
        <v>344157.41</v>
      </c>
      <c r="U17" s="11" t="s">
        <v>49</v>
      </c>
      <c r="V17" s="11" t="s">
        <v>49</v>
      </c>
      <c r="W17" s="11" t="s">
        <v>49</v>
      </c>
      <c r="X17" s="11" t="s">
        <v>49</v>
      </c>
      <c r="Y17" s="11" t="s">
        <v>49</v>
      </c>
      <c r="Z17" s="11" t="s">
        <v>49</v>
      </c>
      <c r="AA17" s="11" t="s">
        <v>49</v>
      </c>
      <c r="AB17" s="11" t="s">
        <v>49</v>
      </c>
      <c r="AC17" s="11" t="s">
        <v>49</v>
      </c>
      <c r="AD17" s="11" t="s">
        <v>49</v>
      </c>
      <c r="AE17" s="11" t="s">
        <v>49</v>
      </c>
      <c r="AF17" s="11" t="s">
        <v>50</v>
      </c>
      <c r="AG17" s="11" t="s">
        <v>41</v>
      </c>
      <c r="AH17" s="29">
        <v>3</v>
      </c>
      <c r="AI17" s="29">
        <v>1</v>
      </c>
    </row>
    <row r="18" spans="1:35" ht="15.95" thickBot="1">
      <c r="A18" s="29" t="s">
        <v>35</v>
      </c>
      <c r="B18" s="29">
        <v>167</v>
      </c>
      <c r="C18" s="11" t="s">
        <v>148</v>
      </c>
      <c r="D18" s="11" t="b">
        <v>1</v>
      </c>
      <c r="E18" s="11" t="s">
        <v>37</v>
      </c>
      <c r="F18" s="11" t="s">
        <v>149</v>
      </c>
      <c r="G18" s="29" t="s">
        <v>150</v>
      </c>
      <c r="H18" s="34" t="s">
        <v>120</v>
      </c>
      <c r="I18" s="31" t="s">
        <v>41</v>
      </c>
      <c r="J18" s="31" t="s">
        <v>121</v>
      </c>
      <c r="K18" s="31" t="s">
        <v>55</v>
      </c>
      <c r="L18" s="31" t="s">
        <v>151</v>
      </c>
      <c r="M18" s="31" t="s">
        <v>56</v>
      </c>
      <c r="N18" s="31" t="s">
        <v>152</v>
      </c>
      <c r="O18" s="31" t="s">
        <v>82</v>
      </c>
      <c r="P18" s="32" t="s">
        <v>153</v>
      </c>
      <c r="Q18" s="32" t="s">
        <v>89</v>
      </c>
      <c r="R18" s="14">
        <v>118766</v>
      </c>
      <c r="S18" s="14">
        <v>39000</v>
      </c>
      <c r="T18" s="13">
        <f t="shared" si="0"/>
        <v>157766</v>
      </c>
      <c r="U18" s="11" t="s">
        <v>49</v>
      </c>
      <c r="V18" s="11" t="s">
        <v>49</v>
      </c>
      <c r="W18" s="11" t="s">
        <v>49</v>
      </c>
      <c r="X18" s="11" t="s">
        <v>49</v>
      </c>
      <c r="Y18" s="11" t="s">
        <v>49</v>
      </c>
      <c r="Z18" s="11" t="s">
        <v>50</v>
      </c>
      <c r="AA18" s="11" t="s">
        <v>49</v>
      </c>
      <c r="AB18" s="11" t="s">
        <v>49</v>
      </c>
      <c r="AC18" s="11" t="s">
        <v>49</v>
      </c>
      <c r="AD18" s="11" t="s">
        <v>41</v>
      </c>
      <c r="AE18" s="11" t="s">
        <v>41</v>
      </c>
      <c r="AF18" s="11" t="s">
        <v>50</v>
      </c>
      <c r="AG18" s="11" t="s">
        <v>41</v>
      </c>
      <c r="AH18" s="29">
        <v>0</v>
      </c>
      <c r="AI18" s="29">
        <v>0</v>
      </c>
    </row>
    <row r="19" spans="1:35" ht="15.95" thickBot="1">
      <c r="A19" s="29" t="s">
        <v>35</v>
      </c>
      <c r="B19" s="29">
        <v>170</v>
      </c>
      <c r="C19" s="11" t="s">
        <v>154</v>
      </c>
      <c r="D19" s="11" t="b">
        <v>1</v>
      </c>
      <c r="E19" s="11" t="s">
        <v>37</v>
      </c>
      <c r="F19" s="11" t="s">
        <v>155</v>
      </c>
      <c r="G19" s="29" t="s">
        <v>156</v>
      </c>
      <c r="H19" s="34" t="s">
        <v>157</v>
      </c>
      <c r="I19" s="31" t="s">
        <v>41</v>
      </c>
      <c r="J19" s="31" t="s">
        <v>42</v>
      </c>
      <c r="K19" s="31" t="s">
        <v>55</v>
      </c>
      <c r="L19" s="31" t="s">
        <v>158</v>
      </c>
      <c r="M19" s="31" t="s">
        <v>56</v>
      </c>
      <c r="N19" s="31" t="s">
        <v>56</v>
      </c>
      <c r="O19" s="31" t="s">
        <v>159</v>
      </c>
      <c r="P19" s="32" t="s">
        <v>160</v>
      </c>
      <c r="Q19" s="32" t="s">
        <v>161</v>
      </c>
      <c r="R19" s="14">
        <v>125000</v>
      </c>
      <c r="S19" s="14">
        <v>38000</v>
      </c>
      <c r="T19" s="13">
        <f t="shared" si="0"/>
        <v>163000</v>
      </c>
      <c r="U19" s="11" t="s">
        <v>49</v>
      </c>
      <c r="V19" s="11" t="s">
        <v>49</v>
      </c>
      <c r="W19" s="11" t="s">
        <v>49</v>
      </c>
      <c r="X19" s="11" t="s">
        <v>49</v>
      </c>
      <c r="Y19" s="11" t="s">
        <v>49</v>
      </c>
      <c r="Z19" s="11" t="s">
        <v>50</v>
      </c>
      <c r="AA19" s="11" t="s">
        <v>49</v>
      </c>
      <c r="AB19" s="11" t="s">
        <v>49</v>
      </c>
      <c r="AC19" s="11" t="s">
        <v>49</v>
      </c>
      <c r="AD19" s="11" t="s">
        <v>41</v>
      </c>
      <c r="AE19" s="11" t="s">
        <v>41</v>
      </c>
      <c r="AF19" s="11" t="s">
        <v>50</v>
      </c>
      <c r="AG19" s="11" t="s">
        <v>41</v>
      </c>
      <c r="AH19" s="29">
        <v>0</v>
      </c>
      <c r="AI19" s="29">
        <v>0</v>
      </c>
    </row>
    <row r="20" spans="1:35" ht="15.95" thickBot="1">
      <c r="A20" s="29" t="s">
        <v>35</v>
      </c>
      <c r="B20" s="29">
        <v>171</v>
      </c>
      <c r="C20" s="11" t="s">
        <v>162</v>
      </c>
      <c r="D20" s="11" t="b">
        <v>1</v>
      </c>
      <c r="E20" s="11" t="s">
        <v>37</v>
      </c>
      <c r="F20" s="11" t="s">
        <v>163</v>
      </c>
      <c r="G20" s="29" t="s">
        <v>164</v>
      </c>
      <c r="H20" s="34" t="s">
        <v>157</v>
      </c>
      <c r="I20" s="31" t="s">
        <v>41</v>
      </c>
      <c r="J20" s="31" t="s">
        <v>42</v>
      </c>
      <c r="K20" s="31" t="s">
        <v>43</v>
      </c>
      <c r="L20" s="31" t="s">
        <v>43</v>
      </c>
      <c r="M20" s="31" t="s">
        <v>44</v>
      </c>
      <c r="N20" s="31" t="s">
        <v>74</v>
      </c>
      <c r="O20" s="31" t="s">
        <v>82</v>
      </c>
      <c r="P20" s="32" t="s">
        <v>109</v>
      </c>
      <c r="Q20" s="32" t="s">
        <v>110</v>
      </c>
      <c r="R20" s="14">
        <v>130340</v>
      </c>
      <c r="S20" s="14">
        <v>37500</v>
      </c>
      <c r="T20" s="13">
        <f t="shared" si="0"/>
        <v>167840</v>
      </c>
      <c r="U20" s="11" t="s">
        <v>49</v>
      </c>
      <c r="V20" s="11" t="s">
        <v>49</v>
      </c>
      <c r="W20" s="11" t="s">
        <v>49</v>
      </c>
      <c r="X20" s="11" t="s">
        <v>49</v>
      </c>
      <c r="Y20" s="11" t="s">
        <v>49</v>
      </c>
      <c r="Z20" s="11" t="s">
        <v>50</v>
      </c>
      <c r="AA20" s="11" t="s">
        <v>49</v>
      </c>
      <c r="AB20" s="11" t="s">
        <v>49</v>
      </c>
      <c r="AC20" s="11" t="s">
        <v>49</v>
      </c>
      <c r="AD20" s="11" t="s">
        <v>41</v>
      </c>
      <c r="AE20" s="11" t="s">
        <v>41</v>
      </c>
      <c r="AF20" s="11" t="s">
        <v>50</v>
      </c>
      <c r="AG20" s="11" t="s">
        <v>41</v>
      </c>
      <c r="AH20" s="29">
        <v>0</v>
      </c>
      <c r="AI20" s="29">
        <v>0</v>
      </c>
    </row>
    <row r="21" spans="1:35">
      <c r="A21" s="29" t="s">
        <v>35</v>
      </c>
      <c r="B21" s="28">
        <v>172</v>
      </c>
      <c r="C21" s="11" t="s">
        <v>165</v>
      </c>
      <c r="D21" s="11" t="b">
        <v>1</v>
      </c>
      <c r="E21" s="11" t="s">
        <v>37</v>
      </c>
      <c r="F21" s="11" t="s">
        <v>166</v>
      </c>
      <c r="G21" s="29" t="s">
        <v>167</v>
      </c>
      <c r="H21" s="34" t="s">
        <v>40</v>
      </c>
      <c r="I21" s="31" t="s">
        <v>87</v>
      </c>
      <c r="J21" s="31" t="s">
        <v>121</v>
      </c>
      <c r="K21" s="31" t="s">
        <v>43</v>
      </c>
      <c r="L21" s="31" t="s">
        <v>123</v>
      </c>
      <c r="M21" s="31" t="s">
        <v>67</v>
      </c>
      <c r="N21" s="31" t="s">
        <v>124</v>
      </c>
      <c r="O21" s="31" t="s">
        <v>168</v>
      </c>
      <c r="P21" s="32" t="s">
        <v>109</v>
      </c>
      <c r="Q21" s="32" t="s">
        <v>110</v>
      </c>
      <c r="R21" s="14">
        <v>159448</v>
      </c>
      <c r="S21" s="14">
        <v>83452</v>
      </c>
      <c r="T21" s="13">
        <f t="shared" si="0"/>
        <v>242900</v>
      </c>
      <c r="U21" s="11" t="s">
        <v>49</v>
      </c>
      <c r="V21" s="11" t="s">
        <v>49</v>
      </c>
      <c r="W21" s="11" t="s">
        <v>49</v>
      </c>
      <c r="X21" s="11" t="s">
        <v>49</v>
      </c>
      <c r="Y21" s="11" t="s">
        <v>49</v>
      </c>
      <c r="Z21" s="11" t="s">
        <v>50</v>
      </c>
      <c r="AA21" s="11" t="s">
        <v>49</v>
      </c>
      <c r="AB21" s="11" t="s">
        <v>49</v>
      </c>
      <c r="AC21" s="11" t="s">
        <v>49</v>
      </c>
      <c r="AD21" s="11" t="s">
        <v>41</v>
      </c>
      <c r="AE21" s="11" t="s">
        <v>41</v>
      </c>
      <c r="AF21" s="11" t="s">
        <v>50</v>
      </c>
      <c r="AG21" s="11" t="s">
        <v>41</v>
      </c>
      <c r="AH21" s="29">
        <v>0</v>
      </c>
      <c r="AI21" s="29">
        <v>0</v>
      </c>
    </row>
    <row r="22" spans="1:35">
      <c r="A22" s="31" t="s">
        <v>169</v>
      </c>
      <c r="B22" s="29">
        <v>102</v>
      </c>
      <c r="C22" s="11" t="s">
        <v>170</v>
      </c>
      <c r="D22" s="11" t="b">
        <v>1</v>
      </c>
      <c r="E22" s="11" t="s">
        <v>37</v>
      </c>
      <c r="F22" s="11" t="s">
        <v>62</v>
      </c>
      <c r="G22" s="29" t="s">
        <v>171</v>
      </c>
      <c r="H22" s="34" t="s">
        <v>40</v>
      </c>
      <c r="I22" s="31" t="s">
        <v>41</v>
      </c>
      <c r="J22" s="31" t="s">
        <v>172</v>
      </c>
      <c r="K22" s="31" t="s">
        <v>43</v>
      </c>
      <c r="L22" s="31" t="s">
        <v>43</v>
      </c>
      <c r="M22" s="31" t="s">
        <v>44</v>
      </c>
      <c r="N22" s="31" t="s">
        <v>124</v>
      </c>
      <c r="O22" s="31" t="s">
        <v>169</v>
      </c>
      <c r="P22" s="32" t="s">
        <v>109</v>
      </c>
      <c r="Q22" s="32" t="s">
        <v>110</v>
      </c>
      <c r="R22" s="14">
        <v>83664</v>
      </c>
      <c r="S22" s="14">
        <v>56336</v>
      </c>
      <c r="T22" s="13">
        <f t="shared" si="0"/>
        <v>140000</v>
      </c>
      <c r="U22" s="11" t="s">
        <v>49</v>
      </c>
      <c r="V22" s="11" t="s">
        <v>49</v>
      </c>
      <c r="W22" s="11" t="s">
        <v>49</v>
      </c>
      <c r="X22" s="11" t="s">
        <v>49</v>
      </c>
      <c r="Y22" s="11" t="s">
        <v>49</v>
      </c>
      <c r="Z22" s="11" t="s">
        <v>50</v>
      </c>
      <c r="AA22" s="11" t="s">
        <v>49</v>
      </c>
      <c r="AB22" s="11" t="s">
        <v>49</v>
      </c>
      <c r="AC22" s="11" t="s">
        <v>49</v>
      </c>
      <c r="AD22" s="11" t="s">
        <v>41</v>
      </c>
      <c r="AE22" s="11" t="s">
        <v>41</v>
      </c>
      <c r="AF22" s="11" t="s">
        <v>50</v>
      </c>
      <c r="AG22" s="11" t="s">
        <v>41</v>
      </c>
      <c r="AH22" s="29">
        <v>0</v>
      </c>
      <c r="AI22" s="29">
        <v>0</v>
      </c>
    </row>
    <row r="23" spans="1:35">
      <c r="A23" s="29" t="s">
        <v>35</v>
      </c>
      <c r="B23" s="28">
        <v>172</v>
      </c>
      <c r="C23" s="11" t="s">
        <v>173</v>
      </c>
      <c r="D23" s="11" t="b">
        <v>1</v>
      </c>
      <c r="E23" s="11" t="s">
        <v>37</v>
      </c>
      <c r="F23" s="11" t="s">
        <v>174</v>
      </c>
      <c r="G23" s="29" t="s">
        <v>175</v>
      </c>
      <c r="H23" s="34" t="s">
        <v>40</v>
      </c>
      <c r="I23" s="31" t="s">
        <v>87</v>
      </c>
      <c r="J23" s="31" t="s">
        <v>176</v>
      </c>
      <c r="K23" s="31" t="s">
        <v>43</v>
      </c>
      <c r="L23" s="31" t="s">
        <v>177</v>
      </c>
      <c r="M23" s="31" t="s">
        <v>67</v>
      </c>
      <c r="N23" s="31" t="s">
        <v>67</v>
      </c>
      <c r="O23" s="31" t="s">
        <v>178</v>
      </c>
      <c r="P23" s="32" t="s">
        <v>98</v>
      </c>
      <c r="Q23" s="32" t="s">
        <v>179</v>
      </c>
      <c r="R23" s="14">
        <v>87500</v>
      </c>
      <c r="S23" s="14">
        <v>112500</v>
      </c>
      <c r="T23" s="13">
        <f t="shared" si="0"/>
        <v>200000</v>
      </c>
      <c r="U23" s="11" t="s">
        <v>49</v>
      </c>
      <c r="V23" s="11" t="s">
        <v>49</v>
      </c>
      <c r="W23" s="11" t="s">
        <v>49</v>
      </c>
      <c r="X23" s="11" t="s">
        <v>49</v>
      </c>
      <c r="Y23" s="11" t="s">
        <v>49</v>
      </c>
      <c r="Z23" s="11" t="s">
        <v>50</v>
      </c>
      <c r="AA23" s="11" t="s">
        <v>49</v>
      </c>
      <c r="AB23" s="11" t="s">
        <v>49</v>
      </c>
      <c r="AC23" s="11" t="s">
        <v>180</v>
      </c>
      <c r="AD23" s="11" t="s">
        <v>41</v>
      </c>
      <c r="AE23" s="11" t="s">
        <v>41</v>
      </c>
      <c r="AF23" s="11" t="s">
        <v>50</v>
      </c>
      <c r="AG23" s="11" t="s">
        <v>41</v>
      </c>
      <c r="AH23" s="29">
        <v>0</v>
      </c>
      <c r="AI23" s="29">
        <v>0</v>
      </c>
    </row>
    <row r="24" spans="1:35">
      <c r="A24" s="29" t="s">
        <v>35</v>
      </c>
      <c r="B24" s="29">
        <v>173</v>
      </c>
      <c r="C24" s="15" t="s">
        <v>181</v>
      </c>
      <c r="D24" s="11" t="b">
        <v>1</v>
      </c>
      <c r="E24" s="11" t="s">
        <v>134</v>
      </c>
      <c r="F24" s="11" t="s">
        <v>41</v>
      </c>
      <c r="G24" s="29" t="s">
        <v>182</v>
      </c>
      <c r="H24" s="34" t="s">
        <v>40</v>
      </c>
      <c r="I24" s="31" t="s">
        <v>136</v>
      </c>
      <c r="J24" s="31" t="s">
        <v>42</v>
      </c>
      <c r="K24" s="31" t="s">
        <v>130</v>
      </c>
      <c r="L24" s="31" t="s">
        <v>130</v>
      </c>
      <c r="M24" s="31" t="s">
        <v>131</v>
      </c>
      <c r="N24" s="31" t="s">
        <v>131</v>
      </c>
      <c r="O24" s="31" t="s">
        <v>82</v>
      </c>
      <c r="P24" s="32" t="s">
        <v>183</v>
      </c>
      <c r="Q24" s="32" t="s">
        <v>184</v>
      </c>
      <c r="R24" s="14">
        <v>122788.5</v>
      </c>
      <c r="S24" s="14">
        <v>45000</v>
      </c>
      <c r="T24" s="13">
        <f t="shared" si="0"/>
        <v>167788.5</v>
      </c>
      <c r="U24" s="11" t="s">
        <v>49</v>
      </c>
      <c r="V24" s="11" t="s">
        <v>49</v>
      </c>
      <c r="W24" s="11" t="s">
        <v>49</v>
      </c>
      <c r="X24" s="11" t="s">
        <v>49</v>
      </c>
      <c r="Y24" s="11" t="s">
        <v>49</v>
      </c>
      <c r="Z24" s="11" t="s">
        <v>50</v>
      </c>
      <c r="AA24" s="11" t="s">
        <v>49</v>
      </c>
      <c r="AB24" s="11" t="s">
        <v>49</v>
      </c>
      <c r="AC24" s="11" t="s">
        <v>49</v>
      </c>
      <c r="AD24" s="11" t="s">
        <v>41</v>
      </c>
      <c r="AE24" s="11" t="s">
        <v>41</v>
      </c>
      <c r="AF24" s="11" t="s">
        <v>50</v>
      </c>
      <c r="AG24" s="11" t="s">
        <v>41</v>
      </c>
      <c r="AH24" s="29">
        <v>0</v>
      </c>
      <c r="AI24" s="29">
        <v>0</v>
      </c>
    </row>
    <row r="25" spans="1:35">
      <c r="A25" s="29" t="s">
        <v>35</v>
      </c>
      <c r="B25" s="29">
        <v>174</v>
      </c>
      <c r="C25" s="11" t="s">
        <v>185</v>
      </c>
      <c r="D25" s="11" t="b">
        <v>1</v>
      </c>
      <c r="E25" s="11" t="s">
        <v>37</v>
      </c>
      <c r="F25" s="11" t="s">
        <v>186</v>
      </c>
      <c r="G25" s="29" t="s">
        <v>187</v>
      </c>
      <c r="H25" s="34" t="s">
        <v>40</v>
      </c>
      <c r="I25" s="31" t="s">
        <v>41</v>
      </c>
      <c r="J25" s="31" t="s">
        <v>42</v>
      </c>
      <c r="K25" s="31" t="s">
        <v>55</v>
      </c>
      <c r="L25" s="31" t="s">
        <v>158</v>
      </c>
      <c r="M25" s="31" t="s">
        <v>56</v>
      </c>
      <c r="N25" s="31" t="s">
        <v>56</v>
      </c>
      <c r="O25" s="31" t="s">
        <v>82</v>
      </c>
      <c r="P25" s="32" t="s">
        <v>183</v>
      </c>
      <c r="Q25" s="32" t="s">
        <v>184</v>
      </c>
      <c r="R25" s="14">
        <v>6500</v>
      </c>
      <c r="S25" s="14">
        <v>6500</v>
      </c>
      <c r="T25" s="13">
        <f t="shared" si="0"/>
        <v>13000</v>
      </c>
      <c r="U25" s="11" t="s">
        <v>49</v>
      </c>
      <c r="V25" s="11" t="s">
        <v>49</v>
      </c>
      <c r="W25" s="11" t="s">
        <v>49</v>
      </c>
      <c r="X25" s="11" t="s">
        <v>49</v>
      </c>
      <c r="Y25" s="11" t="s">
        <v>49</v>
      </c>
      <c r="Z25" s="11" t="s">
        <v>50</v>
      </c>
      <c r="AA25" s="11" t="s">
        <v>49</v>
      </c>
      <c r="AB25" s="11" t="s">
        <v>49</v>
      </c>
      <c r="AC25" s="11" t="s">
        <v>49</v>
      </c>
      <c r="AD25" s="11" t="s">
        <v>41</v>
      </c>
      <c r="AE25" s="11" t="s">
        <v>41</v>
      </c>
      <c r="AF25" s="11" t="s">
        <v>50</v>
      </c>
      <c r="AG25" s="11" t="s">
        <v>41</v>
      </c>
      <c r="AH25" s="29">
        <v>0</v>
      </c>
      <c r="AI25" s="29">
        <v>0</v>
      </c>
    </row>
    <row r="26" spans="1:35">
      <c r="A26" s="29" t="s">
        <v>35</v>
      </c>
      <c r="B26" s="29">
        <v>175</v>
      </c>
      <c r="C26" s="11" t="s">
        <v>188</v>
      </c>
      <c r="D26" s="11" t="b">
        <v>1</v>
      </c>
      <c r="E26" s="11" t="s">
        <v>37</v>
      </c>
      <c r="F26" s="11" t="s">
        <v>189</v>
      </c>
      <c r="G26" s="29" t="s">
        <v>190</v>
      </c>
      <c r="H26" s="34" t="s">
        <v>40</v>
      </c>
      <c r="I26" s="31" t="s">
        <v>41</v>
      </c>
      <c r="J26" s="31" t="s">
        <v>42</v>
      </c>
      <c r="K26" s="31" t="s">
        <v>55</v>
      </c>
      <c r="L26" s="31" t="s">
        <v>55</v>
      </c>
      <c r="M26" s="31" t="s">
        <v>56</v>
      </c>
      <c r="N26" s="31" t="s">
        <v>56</v>
      </c>
      <c r="O26" s="31" t="s">
        <v>82</v>
      </c>
      <c r="P26" s="32" t="s">
        <v>183</v>
      </c>
      <c r="Q26" s="32" t="s">
        <v>184</v>
      </c>
      <c r="R26" s="14">
        <v>25116</v>
      </c>
      <c r="S26" s="14">
        <v>15000</v>
      </c>
      <c r="T26" s="13">
        <f t="shared" si="0"/>
        <v>40116</v>
      </c>
      <c r="U26" s="11" t="s">
        <v>49</v>
      </c>
      <c r="V26" s="11" t="s">
        <v>49</v>
      </c>
      <c r="W26" s="11" t="s">
        <v>49</v>
      </c>
      <c r="X26" s="11" t="s">
        <v>49</v>
      </c>
      <c r="Y26" s="11" t="s">
        <v>49</v>
      </c>
      <c r="Z26" s="11" t="s">
        <v>50</v>
      </c>
      <c r="AA26" s="11" t="s">
        <v>49</v>
      </c>
      <c r="AB26" s="11" t="s">
        <v>49</v>
      </c>
      <c r="AC26" s="11" t="s">
        <v>49</v>
      </c>
      <c r="AD26" s="11" t="s">
        <v>49</v>
      </c>
      <c r="AE26" s="11" t="s">
        <v>41</v>
      </c>
      <c r="AF26" s="11" t="s">
        <v>50</v>
      </c>
      <c r="AG26" s="11" t="s">
        <v>41</v>
      </c>
      <c r="AH26" s="29">
        <v>0</v>
      </c>
      <c r="AI26" s="29">
        <v>0</v>
      </c>
    </row>
    <row r="27" spans="1:35">
      <c r="A27" s="29" t="s">
        <v>35</v>
      </c>
      <c r="B27" s="29">
        <v>176</v>
      </c>
      <c r="C27" s="11" t="s">
        <v>191</v>
      </c>
      <c r="D27" s="11" t="b">
        <v>1</v>
      </c>
      <c r="E27" s="11" t="s">
        <v>37</v>
      </c>
      <c r="F27" s="11" t="s">
        <v>192</v>
      </c>
      <c r="G27" s="29" t="s">
        <v>193</v>
      </c>
      <c r="H27" s="34" t="s">
        <v>40</v>
      </c>
      <c r="I27" s="31" t="s">
        <v>41</v>
      </c>
      <c r="J27" s="31" t="s">
        <v>95</v>
      </c>
      <c r="K27" s="31" t="s">
        <v>43</v>
      </c>
      <c r="L27" s="31" t="s">
        <v>41</v>
      </c>
      <c r="M27" s="31" t="s">
        <v>115</v>
      </c>
      <c r="N27" s="31" t="s">
        <v>74</v>
      </c>
      <c r="O27" s="31" t="s">
        <v>82</v>
      </c>
      <c r="P27" s="32" t="s">
        <v>183</v>
      </c>
      <c r="Q27" s="32" t="s">
        <v>184</v>
      </c>
      <c r="R27" s="14">
        <v>79849</v>
      </c>
      <c r="S27" s="14">
        <v>14899</v>
      </c>
      <c r="T27" s="13">
        <f t="shared" si="0"/>
        <v>94748</v>
      </c>
      <c r="U27" s="11" t="s">
        <v>49</v>
      </c>
      <c r="V27" s="11" t="s">
        <v>49</v>
      </c>
      <c r="W27" s="11" t="s">
        <v>49</v>
      </c>
      <c r="X27" s="11" t="s">
        <v>49</v>
      </c>
      <c r="Y27" s="11" t="s">
        <v>49</v>
      </c>
      <c r="Z27" s="11" t="s">
        <v>50</v>
      </c>
      <c r="AA27" s="11" t="s">
        <v>49</v>
      </c>
      <c r="AB27" s="11" t="s">
        <v>49</v>
      </c>
      <c r="AC27" s="11" t="s">
        <v>49</v>
      </c>
      <c r="AD27" s="11" t="s">
        <v>41</v>
      </c>
      <c r="AE27" s="11" t="s">
        <v>41</v>
      </c>
      <c r="AF27" s="11" t="s">
        <v>50</v>
      </c>
      <c r="AG27" s="11" t="s">
        <v>41</v>
      </c>
      <c r="AH27" s="29">
        <v>0</v>
      </c>
      <c r="AI27" s="29">
        <v>0</v>
      </c>
    </row>
    <row r="28" spans="1:35">
      <c r="A28" s="29" t="s">
        <v>35</v>
      </c>
      <c r="B28" s="29">
        <v>177</v>
      </c>
      <c r="C28" s="11" t="s">
        <v>194</v>
      </c>
      <c r="D28" s="11" t="b">
        <v>1</v>
      </c>
      <c r="E28" s="11" t="s">
        <v>41</v>
      </c>
      <c r="F28" s="11" t="s">
        <v>41</v>
      </c>
      <c r="G28" s="29" t="s">
        <v>195</v>
      </c>
      <c r="H28" s="34" t="s">
        <v>40</v>
      </c>
      <c r="I28" s="31" t="s">
        <v>136</v>
      </c>
      <c r="J28" s="31" t="s">
        <v>196</v>
      </c>
      <c r="K28" s="31" t="s">
        <v>197</v>
      </c>
      <c r="L28" s="31" t="s">
        <v>197</v>
      </c>
      <c r="M28" s="31" t="s">
        <v>198</v>
      </c>
      <c r="N28" s="31" t="s">
        <v>199</v>
      </c>
      <c r="O28" s="31" t="s">
        <v>41</v>
      </c>
      <c r="P28" s="32" t="s">
        <v>97</v>
      </c>
      <c r="Q28" s="32" t="s">
        <v>98</v>
      </c>
      <c r="R28" s="14">
        <v>276192.8</v>
      </c>
      <c r="S28" s="14">
        <v>67964.61</v>
      </c>
      <c r="T28" s="13">
        <f t="shared" si="0"/>
        <v>344157.41</v>
      </c>
      <c r="U28" s="11" t="s">
        <v>49</v>
      </c>
      <c r="V28" s="11" t="s">
        <v>49</v>
      </c>
      <c r="W28" s="11" t="s">
        <v>49</v>
      </c>
      <c r="X28" s="11" t="s">
        <v>49</v>
      </c>
      <c r="Y28" s="11" t="s">
        <v>49</v>
      </c>
      <c r="Z28" s="11" t="s">
        <v>50</v>
      </c>
      <c r="AA28" s="11" t="s">
        <v>49</v>
      </c>
      <c r="AB28" s="11" t="s">
        <v>49</v>
      </c>
      <c r="AC28" s="11" t="s">
        <v>49</v>
      </c>
      <c r="AD28" s="11" t="s">
        <v>41</v>
      </c>
      <c r="AE28" s="11" t="s">
        <v>41</v>
      </c>
      <c r="AF28" s="11" t="s">
        <v>50</v>
      </c>
      <c r="AG28" s="11" t="s">
        <v>41</v>
      </c>
      <c r="AH28" s="29">
        <v>5</v>
      </c>
      <c r="AI28" s="29">
        <v>5</v>
      </c>
    </row>
    <row r="29" spans="1:35">
      <c r="A29" s="29" t="s">
        <v>35</v>
      </c>
      <c r="B29" s="29">
        <v>178</v>
      </c>
      <c r="C29" s="11" t="s">
        <v>200</v>
      </c>
      <c r="D29" s="11" t="b">
        <v>1</v>
      </c>
      <c r="E29" s="11" t="s">
        <v>41</v>
      </c>
      <c r="F29" s="11" t="s">
        <v>41</v>
      </c>
      <c r="G29" s="29" t="s">
        <v>201</v>
      </c>
      <c r="H29" s="34" t="s">
        <v>40</v>
      </c>
      <c r="I29" s="31" t="s">
        <v>41</v>
      </c>
      <c r="J29" s="31" t="s">
        <v>196</v>
      </c>
      <c r="K29" s="31" t="s">
        <v>197</v>
      </c>
      <c r="L29" s="31" t="s">
        <v>197</v>
      </c>
      <c r="M29" s="31" t="s">
        <v>198</v>
      </c>
      <c r="N29" s="31" t="s">
        <v>199</v>
      </c>
      <c r="O29" s="31" t="s">
        <v>41</v>
      </c>
      <c r="P29" s="32" t="s">
        <v>97</v>
      </c>
      <c r="Q29" s="32" t="s">
        <v>98</v>
      </c>
      <c r="R29" s="14">
        <v>118766</v>
      </c>
      <c r="S29" s="14">
        <v>39000</v>
      </c>
      <c r="T29" s="13">
        <f t="shared" si="0"/>
        <v>157766</v>
      </c>
      <c r="U29" s="11" t="s">
        <v>49</v>
      </c>
      <c r="V29" s="11" t="s">
        <v>49</v>
      </c>
      <c r="W29" s="11" t="s">
        <v>49</v>
      </c>
      <c r="X29" s="11" t="s">
        <v>49</v>
      </c>
      <c r="Y29" s="11" t="s">
        <v>49</v>
      </c>
      <c r="Z29" s="11" t="s">
        <v>50</v>
      </c>
      <c r="AA29" s="11" t="s">
        <v>49</v>
      </c>
      <c r="AB29" s="11" t="s">
        <v>49</v>
      </c>
      <c r="AC29" s="11" t="s">
        <v>49</v>
      </c>
      <c r="AD29" s="11" t="s">
        <v>41</v>
      </c>
      <c r="AE29" s="11" t="s">
        <v>41</v>
      </c>
      <c r="AF29" s="11" t="s">
        <v>50</v>
      </c>
      <c r="AG29" s="11" t="s">
        <v>41</v>
      </c>
      <c r="AH29" s="29">
        <v>5</v>
      </c>
      <c r="AI29" s="29">
        <v>5</v>
      </c>
    </row>
    <row r="30" spans="1:35" ht="15.95" thickBot="1">
      <c r="A30" s="29" t="s">
        <v>35</v>
      </c>
      <c r="B30" s="29">
        <v>179</v>
      </c>
      <c r="C30" s="11" t="s">
        <v>202</v>
      </c>
      <c r="D30" s="11" t="b">
        <v>1</v>
      </c>
      <c r="E30" s="11" t="s">
        <v>37</v>
      </c>
      <c r="F30" s="11" t="s">
        <v>72</v>
      </c>
      <c r="G30" s="29" t="s">
        <v>203</v>
      </c>
      <c r="H30" s="34" t="s">
        <v>204</v>
      </c>
      <c r="I30" s="31" t="s">
        <v>41</v>
      </c>
      <c r="J30" s="31" t="s">
        <v>196</v>
      </c>
      <c r="K30" s="31" t="s">
        <v>197</v>
      </c>
      <c r="L30" s="31" t="s">
        <v>197</v>
      </c>
      <c r="M30" s="31" t="s">
        <v>198</v>
      </c>
      <c r="N30" s="31" t="s">
        <v>205</v>
      </c>
      <c r="O30" s="31" t="s">
        <v>82</v>
      </c>
      <c r="P30" s="32" t="s">
        <v>160</v>
      </c>
      <c r="Q30" s="32" t="s">
        <v>206</v>
      </c>
      <c r="R30" s="14">
        <v>125000</v>
      </c>
      <c r="S30" s="14">
        <v>38000</v>
      </c>
      <c r="T30" s="13">
        <f t="shared" si="0"/>
        <v>163000</v>
      </c>
      <c r="U30" s="11" t="s">
        <v>49</v>
      </c>
      <c r="V30" s="11" t="s">
        <v>49</v>
      </c>
      <c r="W30" s="11" t="s">
        <v>49</v>
      </c>
      <c r="X30" s="11" t="s">
        <v>49</v>
      </c>
      <c r="Y30" s="11" t="s">
        <v>49</v>
      </c>
      <c r="Z30" s="11" t="s">
        <v>50</v>
      </c>
      <c r="AA30" s="11" t="s">
        <v>49</v>
      </c>
      <c r="AB30" s="11" t="s">
        <v>49</v>
      </c>
      <c r="AC30" s="11" t="s">
        <v>49</v>
      </c>
      <c r="AD30" s="11" t="s">
        <v>41</v>
      </c>
      <c r="AE30" s="11" t="s">
        <v>41</v>
      </c>
      <c r="AF30" s="11" t="s">
        <v>50</v>
      </c>
      <c r="AG30" s="11" t="s">
        <v>41</v>
      </c>
      <c r="AH30" s="29">
        <v>0</v>
      </c>
      <c r="AI30" s="29">
        <v>0</v>
      </c>
    </row>
    <row r="31" spans="1:35" ht="15.95" thickBot="1">
      <c r="A31" s="29" t="s">
        <v>35</v>
      </c>
      <c r="B31" s="29">
        <v>179</v>
      </c>
      <c r="C31" s="11" t="s">
        <v>207</v>
      </c>
      <c r="D31" s="11" t="b">
        <v>1</v>
      </c>
      <c r="E31" s="11" t="s">
        <v>37</v>
      </c>
      <c r="F31" s="11" t="s">
        <v>208</v>
      </c>
      <c r="G31" s="29" t="s">
        <v>209</v>
      </c>
      <c r="H31" s="34" t="s">
        <v>204</v>
      </c>
      <c r="I31" s="31" t="s">
        <v>41</v>
      </c>
      <c r="J31" s="31" t="s">
        <v>210</v>
      </c>
      <c r="K31" s="31" t="s">
        <v>211</v>
      </c>
      <c r="L31" s="31" t="s">
        <v>211</v>
      </c>
      <c r="M31" s="31" t="s">
        <v>210</v>
      </c>
      <c r="N31" s="31" t="s">
        <v>210</v>
      </c>
      <c r="O31" s="31" t="s">
        <v>82</v>
      </c>
      <c r="P31" s="32" t="s">
        <v>160</v>
      </c>
      <c r="Q31" s="32" t="s">
        <v>206</v>
      </c>
      <c r="R31" s="14">
        <v>130340</v>
      </c>
      <c r="S31" s="14">
        <v>37500</v>
      </c>
      <c r="T31" s="13">
        <f t="shared" si="0"/>
        <v>167840</v>
      </c>
      <c r="U31" s="11" t="s">
        <v>49</v>
      </c>
      <c r="V31" s="11" t="s">
        <v>49</v>
      </c>
      <c r="W31" s="11" t="s">
        <v>49</v>
      </c>
      <c r="X31" s="11" t="s">
        <v>49</v>
      </c>
      <c r="Y31" s="11" t="s">
        <v>49</v>
      </c>
      <c r="Z31" s="11" t="s">
        <v>50</v>
      </c>
      <c r="AA31" s="11" t="s">
        <v>49</v>
      </c>
      <c r="AB31" s="11" t="s">
        <v>49</v>
      </c>
      <c r="AC31" s="11" t="s">
        <v>41</v>
      </c>
      <c r="AD31" s="11" t="s">
        <v>41</v>
      </c>
      <c r="AE31" s="11" t="s">
        <v>41</v>
      </c>
      <c r="AF31" s="11" t="s">
        <v>50</v>
      </c>
      <c r="AG31" s="11" t="s">
        <v>41</v>
      </c>
      <c r="AH31" s="29">
        <v>0</v>
      </c>
      <c r="AI31" s="29">
        <v>0</v>
      </c>
    </row>
    <row r="32" spans="1:35" ht="15.95" thickBot="1">
      <c r="A32" s="29" t="s">
        <v>35</v>
      </c>
      <c r="B32" s="29">
        <v>180</v>
      </c>
      <c r="C32" s="11" t="s">
        <v>212</v>
      </c>
      <c r="D32" s="11" t="b">
        <v>1</v>
      </c>
      <c r="E32" s="11" t="s">
        <v>37</v>
      </c>
      <c r="F32" s="11" t="s">
        <v>213</v>
      </c>
      <c r="G32" s="29" t="s">
        <v>214</v>
      </c>
      <c r="H32" s="35" t="s">
        <v>204</v>
      </c>
      <c r="I32" s="31" t="s">
        <v>136</v>
      </c>
      <c r="J32" s="31" t="s">
        <v>42</v>
      </c>
      <c r="K32" s="31" t="s">
        <v>130</v>
      </c>
      <c r="L32" s="31" t="s">
        <v>215</v>
      </c>
      <c r="M32" s="31" t="s">
        <v>44</v>
      </c>
      <c r="N32" s="31" t="s">
        <v>131</v>
      </c>
      <c r="O32" s="31" t="s">
        <v>216</v>
      </c>
      <c r="P32" s="32" t="s">
        <v>160</v>
      </c>
      <c r="Q32" s="32" t="s">
        <v>206</v>
      </c>
      <c r="R32" s="14">
        <v>159448</v>
      </c>
      <c r="S32" s="14">
        <v>83452</v>
      </c>
      <c r="T32" s="13">
        <f t="shared" si="0"/>
        <v>242900</v>
      </c>
      <c r="U32" s="11" t="s">
        <v>49</v>
      </c>
      <c r="V32" s="11" t="s">
        <v>49</v>
      </c>
      <c r="W32" s="11" t="s">
        <v>49</v>
      </c>
      <c r="X32" s="11" t="s">
        <v>49</v>
      </c>
      <c r="Y32" s="11" t="s">
        <v>49</v>
      </c>
      <c r="Z32" s="11" t="s">
        <v>50</v>
      </c>
      <c r="AA32" s="11" t="s">
        <v>49</v>
      </c>
      <c r="AB32" s="11" t="s">
        <v>49</v>
      </c>
      <c r="AC32" s="11" t="s">
        <v>41</v>
      </c>
      <c r="AD32" s="11" t="s">
        <v>41</v>
      </c>
      <c r="AE32" s="11" t="s">
        <v>41</v>
      </c>
      <c r="AF32" s="11" t="s">
        <v>50</v>
      </c>
      <c r="AG32" s="11" t="s">
        <v>41</v>
      </c>
      <c r="AH32" s="29">
        <v>0</v>
      </c>
      <c r="AI32" s="29">
        <v>0</v>
      </c>
    </row>
    <row r="33" spans="1:35" ht="15.95" thickBot="1">
      <c r="A33" s="29" t="s">
        <v>83</v>
      </c>
      <c r="B33" s="29">
        <v>191</v>
      </c>
      <c r="C33" s="11" t="s">
        <v>217</v>
      </c>
      <c r="D33" s="11" t="b">
        <v>1</v>
      </c>
      <c r="E33" s="11" t="s">
        <v>37</v>
      </c>
      <c r="F33" s="11" t="s">
        <v>218</v>
      </c>
      <c r="G33" s="29" t="s">
        <v>219</v>
      </c>
      <c r="H33" s="35" t="s">
        <v>220</v>
      </c>
      <c r="I33" s="31" t="s">
        <v>221</v>
      </c>
      <c r="J33" s="31" t="s">
        <v>176</v>
      </c>
      <c r="K33" s="31" t="s">
        <v>222</v>
      </c>
      <c r="L33" s="31" t="s">
        <v>222</v>
      </c>
      <c r="M33" s="31" t="s">
        <v>44</v>
      </c>
      <c r="N33" s="31" t="s">
        <v>124</v>
      </c>
      <c r="O33" s="31" t="s">
        <v>223</v>
      </c>
      <c r="P33" s="32" t="s">
        <v>98</v>
      </c>
      <c r="Q33" s="32" t="s">
        <v>179</v>
      </c>
      <c r="R33" s="14">
        <v>83664</v>
      </c>
      <c r="S33" s="14">
        <v>56336</v>
      </c>
      <c r="T33" s="13">
        <f t="shared" si="0"/>
        <v>140000</v>
      </c>
      <c r="U33" s="11" t="s">
        <v>49</v>
      </c>
      <c r="V33" s="11" t="s">
        <v>49</v>
      </c>
      <c r="W33" s="11" t="s">
        <v>49</v>
      </c>
      <c r="X33" s="11" t="s">
        <v>49</v>
      </c>
      <c r="Y33" s="11" t="s">
        <v>49</v>
      </c>
      <c r="Z33" s="11" t="s">
        <v>50</v>
      </c>
      <c r="AA33" s="11" t="s">
        <v>49</v>
      </c>
      <c r="AB33" s="11" t="s">
        <v>49</v>
      </c>
      <c r="AC33" s="11" t="s">
        <v>50</v>
      </c>
      <c r="AD33" s="11" t="s">
        <v>50</v>
      </c>
      <c r="AE33" s="11" t="s">
        <v>50</v>
      </c>
      <c r="AF33" s="11" t="s">
        <v>49</v>
      </c>
      <c r="AG33" s="11" t="s">
        <v>41</v>
      </c>
      <c r="AH33" s="29">
        <v>0</v>
      </c>
      <c r="AI33" s="29">
        <v>0</v>
      </c>
    </row>
    <row r="34" spans="1:35" ht="15.95" thickBot="1">
      <c r="A34" s="29" t="s">
        <v>83</v>
      </c>
      <c r="B34" s="29">
        <v>192</v>
      </c>
      <c r="C34" s="11" t="s">
        <v>224</v>
      </c>
      <c r="D34" s="11" t="b">
        <v>1</v>
      </c>
      <c r="E34" s="11" t="s">
        <v>37</v>
      </c>
      <c r="F34" s="11" t="s">
        <v>225</v>
      </c>
      <c r="G34" s="29" t="s">
        <v>226</v>
      </c>
      <c r="H34" s="35" t="s">
        <v>220</v>
      </c>
      <c r="I34" s="31" t="s">
        <v>41</v>
      </c>
      <c r="J34" s="31" t="s">
        <v>227</v>
      </c>
      <c r="K34" s="31" t="s">
        <v>43</v>
      </c>
      <c r="L34" s="31" t="s">
        <v>43</v>
      </c>
      <c r="M34" s="31" t="s">
        <v>44</v>
      </c>
      <c r="N34" s="31" t="s">
        <v>228</v>
      </c>
      <c r="O34" s="31" t="s">
        <v>229</v>
      </c>
      <c r="P34" s="32" t="s">
        <v>98</v>
      </c>
      <c r="Q34" s="32" t="s">
        <v>179</v>
      </c>
      <c r="R34" s="14">
        <v>87500</v>
      </c>
      <c r="S34" s="14">
        <v>112500</v>
      </c>
      <c r="T34" s="13">
        <f t="shared" si="0"/>
        <v>200000</v>
      </c>
      <c r="U34" s="11" t="s">
        <v>49</v>
      </c>
      <c r="V34" s="11" t="s">
        <v>50</v>
      </c>
      <c r="W34" s="11" t="s">
        <v>50</v>
      </c>
      <c r="X34" s="11" t="s">
        <v>50</v>
      </c>
      <c r="Y34" s="11" t="s">
        <v>50</v>
      </c>
      <c r="Z34" s="11" t="s">
        <v>50</v>
      </c>
      <c r="AA34" s="11" t="s">
        <v>50</v>
      </c>
      <c r="AB34" s="11" t="s">
        <v>50</v>
      </c>
      <c r="AC34" s="11" t="s">
        <v>50</v>
      </c>
      <c r="AD34" s="11" t="s">
        <v>50</v>
      </c>
      <c r="AE34" s="11" t="s">
        <v>50</v>
      </c>
      <c r="AF34" s="11" t="s">
        <v>49</v>
      </c>
      <c r="AG34" s="11" t="s">
        <v>41</v>
      </c>
      <c r="AH34" s="29">
        <v>0</v>
      </c>
      <c r="AI34" s="29">
        <v>0</v>
      </c>
    </row>
    <row r="35" spans="1:35" ht="15.95" thickBot="1">
      <c r="A35" s="29" t="s">
        <v>35</v>
      </c>
      <c r="B35" s="29">
        <v>181</v>
      </c>
      <c r="C35" s="11" t="s">
        <v>230</v>
      </c>
      <c r="D35" s="11" t="b">
        <v>1</v>
      </c>
      <c r="E35" s="11" t="s">
        <v>37</v>
      </c>
      <c r="F35" s="11" t="s">
        <v>231</v>
      </c>
      <c r="G35" s="29" t="s">
        <v>232</v>
      </c>
      <c r="H35" s="35" t="s">
        <v>220</v>
      </c>
      <c r="I35" s="31" t="s">
        <v>41</v>
      </c>
      <c r="J35" s="31" t="s">
        <v>210</v>
      </c>
      <c r="K35" s="31" t="s">
        <v>211</v>
      </c>
      <c r="L35" s="31" t="s">
        <v>211</v>
      </c>
      <c r="M35" s="31" t="s">
        <v>210</v>
      </c>
      <c r="N35" s="31" t="s">
        <v>210</v>
      </c>
      <c r="O35" s="31" t="s">
        <v>229</v>
      </c>
      <c r="P35" s="32" t="s">
        <v>98</v>
      </c>
      <c r="Q35" s="32" t="s">
        <v>233</v>
      </c>
      <c r="R35" s="14">
        <v>122788.5</v>
      </c>
      <c r="S35" s="14">
        <v>45000</v>
      </c>
      <c r="T35" s="13">
        <f t="shared" si="0"/>
        <v>167788.5</v>
      </c>
      <c r="U35" s="11" t="s">
        <v>49</v>
      </c>
      <c r="V35" s="11" t="s">
        <v>50</v>
      </c>
      <c r="W35" s="11" t="s">
        <v>50</v>
      </c>
      <c r="X35" s="11" t="s">
        <v>50</v>
      </c>
      <c r="Y35" s="11" t="s">
        <v>50</v>
      </c>
      <c r="Z35" s="11" t="s">
        <v>50</v>
      </c>
      <c r="AA35" s="11" t="s">
        <v>50</v>
      </c>
      <c r="AB35" s="11" t="s">
        <v>50</v>
      </c>
      <c r="AC35" s="11" t="s">
        <v>50</v>
      </c>
      <c r="AD35" s="11" t="s">
        <v>50</v>
      </c>
      <c r="AE35" s="11" t="s">
        <v>50</v>
      </c>
      <c r="AF35" s="11" t="s">
        <v>49</v>
      </c>
      <c r="AG35" s="11" t="s">
        <v>41</v>
      </c>
      <c r="AH35" s="29">
        <v>0</v>
      </c>
      <c r="AI35" s="29">
        <v>0</v>
      </c>
    </row>
    <row r="36" spans="1:35" ht="15.95" thickBot="1">
      <c r="A36" s="29" t="s">
        <v>35</v>
      </c>
      <c r="B36" s="29">
        <v>182</v>
      </c>
      <c r="C36" s="11" t="s">
        <v>234</v>
      </c>
      <c r="D36" s="11" t="b">
        <v>1</v>
      </c>
      <c r="E36" s="11" t="s">
        <v>41</v>
      </c>
      <c r="F36" s="11" t="s">
        <v>41</v>
      </c>
      <c r="G36" s="29" t="s">
        <v>235</v>
      </c>
      <c r="H36" s="35" t="s">
        <v>220</v>
      </c>
      <c r="I36" s="31" t="s">
        <v>41</v>
      </c>
      <c r="J36" s="31" t="s">
        <v>210</v>
      </c>
      <c r="K36" s="31" t="s">
        <v>211</v>
      </c>
      <c r="L36" s="31" t="s">
        <v>211</v>
      </c>
      <c r="M36" s="31" t="s">
        <v>210</v>
      </c>
      <c r="N36" s="31" t="s">
        <v>210</v>
      </c>
      <c r="O36" s="31" t="s">
        <v>82</v>
      </c>
      <c r="P36" s="32" t="s">
        <v>98</v>
      </c>
      <c r="Q36" s="32" t="s">
        <v>179</v>
      </c>
      <c r="R36" s="14">
        <v>6500</v>
      </c>
      <c r="S36" s="14">
        <v>6500</v>
      </c>
      <c r="T36" s="13">
        <f t="shared" si="0"/>
        <v>13000</v>
      </c>
      <c r="U36" s="11" t="s">
        <v>49</v>
      </c>
      <c r="V36" s="11" t="s">
        <v>50</v>
      </c>
      <c r="W36" s="11" t="s">
        <v>50</v>
      </c>
      <c r="X36" s="11" t="s">
        <v>50</v>
      </c>
      <c r="Y36" s="11" t="s">
        <v>50</v>
      </c>
      <c r="Z36" s="11" t="s">
        <v>50</v>
      </c>
      <c r="AA36" s="11" t="s">
        <v>50</v>
      </c>
      <c r="AB36" s="11" t="s">
        <v>50</v>
      </c>
      <c r="AC36" s="11" t="s">
        <v>50</v>
      </c>
      <c r="AD36" s="11" t="s">
        <v>50</v>
      </c>
      <c r="AE36" s="11" t="s">
        <v>50</v>
      </c>
      <c r="AF36" s="11" t="s">
        <v>49</v>
      </c>
      <c r="AG36" s="11" t="s">
        <v>41</v>
      </c>
      <c r="AH36" s="29">
        <v>0</v>
      </c>
      <c r="AI36" s="29">
        <v>0</v>
      </c>
    </row>
    <row r="37" spans="1:35">
      <c r="A37" s="29" t="s">
        <v>35</v>
      </c>
      <c r="B37" s="29">
        <v>183</v>
      </c>
      <c r="C37" s="11" t="s">
        <v>236</v>
      </c>
      <c r="D37" s="11" t="b">
        <v>1</v>
      </c>
      <c r="E37" s="11" t="s">
        <v>37</v>
      </c>
      <c r="F37" s="11" t="s">
        <v>237</v>
      </c>
      <c r="G37" s="29" t="s">
        <v>238</v>
      </c>
      <c r="H37" s="35" t="s">
        <v>239</v>
      </c>
      <c r="I37" s="31" t="s">
        <v>41</v>
      </c>
      <c r="J37" s="31" t="s">
        <v>210</v>
      </c>
      <c r="K37" s="31" t="s">
        <v>211</v>
      </c>
      <c r="L37" s="31" t="s">
        <v>240</v>
      </c>
      <c r="M37" s="31" t="s">
        <v>210</v>
      </c>
      <c r="N37" s="31" t="s">
        <v>241</v>
      </c>
      <c r="O37" s="31" t="s">
        <v>82</v>
      </c>
      <c r="P37" s="32" t="s">
        <v>98</v>
      </c>
      <c r="Q37" s="32" t="s">
        <v>179</v>
      </c>
      <c r="R37" s="14">
        <v>25116</v>
      </c>
      <c r="S37" s="14">
        <v>15000</v>
      </c>
      <c r="T37" s="13">
        <f t="shared" si="0"/>
        <v>40116</v>
      </c>
      <c r="U37" s="11" t="s">
        <v>49</v>
      </c>
      <c r="V37" s="11" t="s">
        <v>50</v>
      </c>
      <c r="W37" s="11" t="s">
        <v>50</v>
      </c>
      <c r="X37" s="11" t="s">
        <v>50</v>
      </c>
      <c r="Y37" s="11" t="s">
        <v>50</v>
      </c>
      <c r="Z37" s="11" t="s">
        <v>50</v>
      </c>
      <c r="AA37" s="11" t="s">
        <v>50</v>
      </c>
      <c r="AB37" s="11" t="s">
        <v>50</v>
      </c>
      <c r="AC37" s="11" t="s">
        <v>50</v>
      </c>
      <c r="AD37" s="11" t="s">
        <v>50</v>
      </c>
      <c r="AE37" s="11" t="s">
        <v>50</v>
      </c>
      <c r="AF37" s="11" t="s">
        <v>49</v>
      </c>
      <c r="AG37" s="11" t="s">
        <v>41</v>
      </c>
      <c r="AH37" s="29">
        <v>0</v>
      </c>
      <c r="AI37" s="29">
        <v>0</v>
      </c>
    </row>
    <row r="38" spans="1:35">
      <c r="A38" s="29" t="s">
        <v>35</v>
      </c>
      <c r="B38" s="29">
        <v>185</v>
      </c>
      <c r="C38" s="11" t="s">
        <v>242</v>
      </c>
      <c r="D38" s="11" t="b">
        <v>1</v>
      </c>
      <c r="E38" s="11" t="s">
        <v>37</v>
      </c>
      <c r="F38" s="11" t="s">
        <v>243</v>
      </c>
      <c r="G38" s="29" t="s">
        <v>244</v>
      </c>
      <c r="H38" s="35" t="s">
        <v>245</v>
      </c>
      <c r="I38" s="31" t="s">
        <v>41</v>
      </c>
      <c r="J38" s="31" t="s">
        <v>42</v>
      </c>
      <c r="K38" s="31" t="s">
        <v>246</v>
      </c>
      <c r="L38" s="31" t="s">
        <v>41</v>
      </c>
      <c r="M38" s="31" t="s">
        <v>247</v>
      </c>
      <c r="N38" s="31" t="s">
        <v>140</v>
      </c>
      <c r="O38" s="31" t="s">
        <v>248</v>
      </c>
      <c r="P38" s="32" t="s">
        <v>98</v>
      </c>
      <c r="Q38" s="32" t="s">
        <v>179</v>
      </c>
      <c r="R38" s="14">
        <v>79849</v>
      </c>
      <c r="S38" s="14">
        <v>14899</v>
      </c>
      <c r="T38" s="13">
        <f t="shared" si="0"/>
        <v>94748</v>
      </c>
      <c r="U38" s="11" t="s">
        <v>49</v>
      </c>
      <c r="V38" s="11" t="s">
        <v>50</v>
      </c>
      <c r="W38" s="11" t="s">
        <v>50</v>
      </c>
      <c r="X38" s="11" t="s">
        <v>50</v>
      </c>
      <c r="Y38" s="11" t="s">
        <v>50</v>
      </c>
      <c r="Z38" s="11" t="s">
        <v>50</v>
      </c>
      <c r="AA38" s="11" t="s">
        <v>50</v>
      </c>
      <c r="AB38" s="11" t="s">
        <v>50</v>
      </c>
      <c r="AC38" s="11" t="s">
        <v>50</v>
      </c>
      <c r="AD38" s="11" t="s">
        <v>50</v>
      </c>
      <c r="AE38" s="11" t="s">
        <v>50</v>
      </c>
      <c r="AF38" s="11" t="s">
        <v>49</v>
      </c>
      <c r="AG38" s="11" t="s">
        <v>41</v>
      </c>
      <c r="AH38" s="29">
        <v>0</v>
      </c>
      <c r="AI38" s="29">
        <v>0</v>
      </c>
    </row>
    <row r="39" spans="1:35" ht="15" customHeight="1">
      <c r="A39" s="29" t="s">
        <v>35</v>
      </c>
      <c r="B39" s="29">
        <v>186</v>
      </c>
      <c r="C39" s="11" t="s">
        <v>249</v>
      </c>
      <c r="D39" s="11" t="b">
        <v>1</v>
      </c>
      <c r="E39" s="11" t="s">
        <v>37</v>
      </c>
      <c r="F39" s="11" t="s">
        <v>250</v>
      </c>
      <c r="G39" s="29" t="s">
        <v>251</v>
      </c>
      <c r="H39" s="36" t="s">
        <v>252</v>
      </c>
      <c r="I39" s="31" t="s">
        <v>41</v>
      </c>
      <c r="J39" s="31" t="s">
        <v>42</v>
      </c>
      <c r="K39" s="31" t="s">
        <v>55</v>
      </c>
      <c r="L39" s="31" t="s">
        <v>253</v>
      </c>
      <c r="M39" s="31" t="s">
        <v>56</v>
      </c>
      <c r="N39" s="31" t="s">
        <v>254</v>
      </c>
      <c r="O39" s="31" t="s">
        <v>229</v>
      </c>
      <c r="P39" s="32" t="s">
        <v>98</v>
      </c>
      <c r="Q39" s="32" t="s">
        <v>179</v>
      </c>
      <c r="R39" s="14">
        <v>276192.8</v>
      </c>
      <c r="S39" s="14">
        <v>67964.61</v>
      </c>
      <c r="T39" s="13">
        <f t="shared" si="0"/>
        <v>344157.41</v>
      </c>
      <c r="U39" s="11" t="s">
        <v>49</v>
      </c>
      <c r="V39" s="11" t="s">
        <v>50</v>
      </c>
      <c r="W39" s="11" t="s">
        <v>50</v>
      </c>
      <c r="X39" s="11" t="s">
        <v>50</v>
      </c>
      <c r="Y39" s="11" t="s">
        <v>50</v>
      </c>
      <c r="Z39" s="11" t="s">
        <v>50</v>
      </c>
      <c r="AA39" s="11" t="s">
        <v>50</v>
      </c>
      <c r="AB39" s="11" t="s">
        <v>50</v>
      </c>
      <c r="AC39" s="11" t="s">
        <v>50</v>
      </c>
      <c r="AD39" s="11" t="s">
        <v>50</v>
      </c>
      <c r="AE39" s="11" t="s">
        <v>50</v>
      </c>
      <c r="AF39" s="11" t="s">
        <v>49</v>
      </c>
      <c r="AG39" s="11" t="s">
        <v>41</v>
      </c>
      <c r="AH39" s="29">
        <v>0</v>
      </c>
      <c r="AI39" s="29">
        <v>0</v>
      </c>
    </row>
    <row r="40" spans="1:35" ht="15.95" thickBot="1">
      <c r="A40" s="29" t="s">
        <v>35</v>
      </c>
      <c r="B40" s="29">
        <v>187</v>
      </c>
      <c r="C40" s="11" t="s">
        <v>255</v>
      </c>
      <c r="D40" s="11" t="b">
        <v>1</v>
      </c>
      <c r="E40" s="11" t="s">
        <v>41</v>
      </c>
      <c r="F40" s="11" t="s">
        <v>41</v>
      </c>
      <c r="G40" s="29" t="s">
        <v>256</v>
      </c>
      <c r="H40" s="34" t="s">
        <v>120</v>
      </c>
      <c r="I40" s="31" t="s">
        <v>41</v>
      </c>
      <c r="J40" s="31" t="s">
        <v>210</v>
      </c>
      <c r="K40" s="31" t="s">
        <v>211</v>
      </c>
      <c r="L40" s="31" t="s">
        <v>211</v>
      </c>
      <c r="M40" s="31" t="s">
        <v>257</v>
      </c>
      <c r="N40" s="31" t="s">
        <v>210</v>
      </c>
      <c r="O40" s="31" t="s">
        <v>258</v>
      </c>
      <c r="P40" s="32" t="s">
        <v>98</v>
      </c>
      <c r="Q40" s="32" t="s">
        <v>179</v>
      </c>
      <c r="R40" s="14">
        <v>118766</v>
      </c>
      <c r="S40" s="14">
        <v>39000</v>
      </c>
      <c r="T40" s="13">
        <f t="shared" si="0"/>
        <v>157766</v>
      </c>
      <c r="U40" s="11" t="s">
        <v>49</v>
      </c>
      <c r="V40" s="11" t="s">
        <v>50</v>
      </c>
      <c r="W40" s="11" t="s">
        <v>50</v>
      </c>
      <c r="X40" s="11" t="s">
        <v>50</v>
      </c>
      <c r="Y40" s="11" t="s">
        <v>50</v>
      </c>
      <c r="Z40" s="11" t="s">
        <v>50</v>
      </c>
      <c r="AA40" s="11" t="s">
        <v>50</v>
      </c>
      <c r="AB40" s="11" t="s">
        <v>50</v>
      </c>
      <c r="AC40" s="11" t="s">
        <v>50</v>
      </c>
      <c r="AD40" s="11" t="s">
        <v>50</v>
      </c>
      <c r="AE40" s="11" t="s">
        <v>50</v>
      </c>
      <c r="AF40" s="11" t="s">
        <v>49</v>
      </c>
      <c r="AG40" s="11" t="s">
        <v>41</v>
      </c>
      <c r="AH40" s="29">
        <v>0</v>
      </c>
      <c r="AI40" s="29">
        <v>0</v>
      </c>
    </row>
    <row r="41" spans="1:35" ht="15.95" thickBot="1">
      <c r="A41" s="29" t="s">
        <v>35</v>
      </c>
      <c r="B41" s="29">
        <v>188</v>
      </c>
      <c r="C41" s="11" t="s">
        <v>259</v>
      </c>
      <c r="D41" s="11" t="b">
        <v>1</v>
      </c>
      <c r="E41" s="11" t="s">
        <v>37</v>
      </c>
      <c r="F41" s="11" t="s">
        <v>260</v>
      </c>
      <c r="G41" s="29" t="s">
        <v>261</v>
      </c>
      <c r="H41" s="34" t="s">
        <v>120</v>
      </c>
      <c r="I41" s="31" t="s">
        <v>41</v>
      </c>
      <c r="J41" s="31" t="s">
        <v>210</v>
      </c>
      <c r="K41" s="31" t="s">
        <v>211</v>
      </c>
      <c r="L41" s="31" t="s">
        <v>211</v>
      </c>
      <c r="M41" s="31" t="s">
        <v>210</v>
      </c>
      <c r="N41" s="31" t="s">
        <v>262</v>
      </c>
      <c r="O41" s="31" t="s">
        <v>263</v>
      </c>
      <c r="P41" s="32" t="s">
        <v>98</v>
      </c>
      <c r="Q41" s="32" t="s">
        <v>179</v>
      </c>
      <c r="R41" s="14">
        <v>125000</v>
      </c>
      <c r="S41" s="14">
        <v>38000</v>
      </c>
      <c r="T41" s="33">
        <f t="shared" si="0"/>
        <v>163000</v>
      </c>
      <c r="U41" s="11" t="s">
        <v>49</v>
      </c>
      <c r="V41" s="11" t="s">
        <v>50</v>
      </c>
      <c r="W41" s="11" t="s">
        <v>50</v>
      </c>
      <c r="X41" s="11" t="s">
        <v>50</v>
      </c>
      <c r="Y41" s="11" t="s">
        <v>50</v>
      </c>
      <c r="Z41" s="11" t="s">
        <v>50</v>
      </c>
      <c r="AA41" s="11" t="s">
        <v>50</v>
      </c>
      <c r="AB41" s="11" t="s">
        <v>50</v>
      </c>
      <c r="AC41" s="11" t="s">
        <v>50</v>
      </c>
      <c r="AD41" s="11" t="s">
        <v>50</v>
      </c>
      <c r="AE41" s="11" t="s">
        <v>50</v>
      </c>
      <c r="AF41" s="11" t="s">
        <v>49</v>
      </c>
      <c r="AG41" s="11" t="s">
        <v>41</v>
      </c>
      <c r="AH41" s="29">
        <v>0</v>
      </c>
      <c r="AI41" s="29">
        <v>0</v>
      </c>
    </row>
    <row r="42" spans="1:35">
      <c r="A42" s="29" t="s">
        <v>35</v>
      </c>
      <c r="B42" s="29">
        <v>189</v>
      </c>
      <c r="C42" s="11" t="s">
        <v>264</v>
      </c>
      <c r="D42" s="11" t="b">
        <v>1</v>
      </c>
      <c r="E42" s="11" t="s">
        <v>37</v>
      </c>
      <c r="F42" s="11" t="s">
        <v>265</v>
      </c>
      <c r="G42" s="29" t="s">
        <v>266</v>
      </c>
      <c r="H42" s="35" t="s">
        <v>245</v>
      </c>
      <c r="I42" s="31" t="s">
        <v>41</v>
      </c>
      <c r="J42" s="31" t="s">
        <v>121</v>
      </c>
      <c r="K42" s="31" t="s">
        <v>122</v>
      </c>
      <c r="L42" s="31" t="s">
        <v>122</v>
      </c>
      <c r="M42" s="31" t="s">
        <v>44</v>
      </c>
      <c r="N42" s="31" t="s">
        <v>124</v>
      </c>
      <c r="O42" s="31" t="s">
        <v>267</v>
      </c>
      <c r="P42" s="32" t="s">
        <v>98</v>
      </c>
      <c r="Q42" s="32" t="s">
        <v>179</v>
      </c>
      <c r="R42" s="14">
        <v>130340</v>
      </c>
      <c r="S42" s="14">
        <v>37500</v>
      </c>
      <c r="T42" s="33">
        <f t="shared" si="0"/>
        <v>167840</v>
      </c>
      <c r="U42" s="11" t="s">
        <v>49</v>
      </c>
      <c r="V42" s="11" t="s">
        <v>50</v>
      </c>
      <c r="W42" s="11" t="s">
        <v>50</v>
      </c>
      <c r="X42" s="11" t="s">
        <v>50</v>
      </c>
      <c r="Y42" s="11" t="s">
        <v>50</v>
      </c>
      <c r="Z42" s="11" t="s">
        <v>50</v>
      </c>
      <c r="AA42" s="11" t="s">
        <v>50</v>
      </c>
      <c r="AB42" s="11" t="s">
        <v>50</v>
      </c>
      <c r="AC42" s="11" t="s">
        <v>50</v>
      </c>
      <c r="AD42" s="11" t="s">
        <v>50</v>
      </c>
      <c r="AE42" s="11" t="s">
        <v>50</v>
      </c>
      <c r="AF42" s="11" t="s">
        <v>49</v>
      </c>
      <c r="AG42" s="11" t="s">
        <v>41</v>
      </c>
      <c r="AH42" s="29">
        <v>0</v>
      </c>
      <c r="AI42" s="29">
        <v>0</v>
      </c>
    </row>
    <row r="43" spans="1:35">
      <c r="A43" s="29" t="s">
        <v>83</v>
      </c>
      <c r="B43" s="29">
        <v>184</v>
      </c>
      <c r="C43" s="11" t="s">
        <v>268</v>
      </c>
      <c r="D43" s="11" t="b">
        <v>1</v>
      </c>
      <c r="E43" s="11" t="s">
        <v>37</v>
      </c>
      <c r="F43" s="11" t="s">
        <v>269</v>
      </c>
      <c r="G43" s="29" t="s">
        <v>270</v>
      </c>
      <c r="H43" s="34" t="s">
        <v>40</v>
      </c>
      <c r="I43" s="31" t="s">
        <v>41</v>
      </c>
      <c r="J43" s="31" t="s">
        <v>210</v>
      </c>
      <c r="K43" s="31" t="s">
        <v>211</v>
      </c>
      <c r="L43" s="31" t="s">
        <v>211</v>
      </c>
      <c r="M43" s="31" t="s">
        <v>210</v>
      </c>
      <c r="N43" s="31" t="s">
        <v>210</v>
      </c>
      <c r="O43" s="31" t="s">
        <v>271</v>
      </c>
      <c r="P43" s="32" t="s">
        <v>98</v>
      </c>
      <c r="Q43" s="32" t="s">
        <v>179</v>
      </c>
      <c r="R43" s="14">
        <v>159448</v>
      </c>
      <c r="S43" s="14">
        <v>83452</v>
      </c>
      <c r="T43" s="33">
        <f t="shared" si="0"/>
        <v>242900</v>
      </c>
      <c r="U43" s="11" t="s">
        <v>49</v>
      </c>
      <c r="V43" s="11" t="s">
        <v>50</v>
      </c>
      <c r="W43" s="11" t="s">
        <v>50</v>
      </c>
      <c r="X43" s="11" t="s">
        <v>50</v>
      </c>
      <c r="Y43" s="11" t="s">
        <v>50</v>
      </c>
      <c r="Z43" s="11" t="s">
        <v>50</v>
      </c>
      <c r="AA43" s="11" t="s">
        <v>50</v>
      </c>
      <c r="AB43" s="11" t="s">
        <v>50</v>
      </c>
      <c r="AC43" s="11" t="s">
        <v>50</v>
      </c>
      <c r="AD43" s="11" t="s">
        <v>50</v>
      </c>
      <c r="AE43" s="11" t="s">
        <v>50</v>
      </c>
      <c r="AF43" s="11" t="s">
        <v>49</v>
      </c>
      <c r="AG43" s="11" t="s">
        <v>41</v>
      </c>
      <c r="AH43" s="29">
        <v>0</v>
      </c>
      <c r="AI43" s="29">
        <v>0</v>
      </c>
    </row>
    <row r="44" spans="1:35" ht="15.95" thickBot="1">
      <c r="A44" s="29" t="s">
        <v>35</v>
      </c>
      <c r="B44" s="29">
        <v>190</v>
      </c>
      <c r="C44" s="11" t="s">
        <v>272</v>
      </c>
      <c r="D44" s="11" t="b">
        <v>1</v>
      </c>
      <c r="E44" s="11" t="s">
        <v>41</v>
      </c>
      <c r="F44" s="11" t="s">
        <v>41</v>
      </c>
      <c r="G44" s="29" t="s">
        <v>273</v>
      </c>
      <c r="H44" s="34" t="s">
        <v>120</v>
      </c>
      <c r="I44" s="31" t="s">
        <v>41</v>
      </c>
      <c r="J44" s="31" t="s">
        <v>42</v>
      </c>
      <c r="K44" s="31" t="s">
        <v>55</v>
      </c>
      <c r="L44" s="31" t="s">
        <v>55</v>
      </c>
      <c r="M44" s="31" t="s">
        <v>56</v>
      </c>
      <c r="N44" s="31" t="s">
        <v>56</v>
      </c>
      <c r="O44" s="31" t="s">
        <v>274</v>
      </c>
      <c r="P44" s="32" t="s">
        <v>98</v>
      </c>
      <c r="Q44" s="32" t="s">
        <v>179</v>
      </c>
      <c r="R44" s="14">
        <v>83664</v>
      </c>
      <c r="S44" s="14">
        <v>56336</v>
      </c>
      <c r="T44" s="33">
        <f t="shared" si="0"/>
        <v>140000</v>
      </c>
      <c r="U44" s="11" t="s">
        <v>50</v>
      </c>
      <c r="V44" s="11" t="s">
        <v>50</v>
      </c>
      <c r="W44" s="11" t="s">
        <v>50</v>
      </c>
      <c r="X44" s="11" t="s">
        <v>50</v>
      </c>
      <c r="Y44" s="11" t="s">
        <v>50</v>
      </c>
      <c r="Z44" s="11" t="s">
        <v>50</v>
      </c>
      <c r="AA44" s="11" t="s">
        <v>50</v>
      </c>
      <c r="AB44" s="11" t="s">
        <v>50</v>
      </c>
      <c r="AC44" s="11" t="s">
        <v>41</v>
      </c>
      <c r="AD44" s="11" t="s">
        <v>41</v>
      </c>
      <c r="AE44" s="11" t="s">
        <v>41</v>
      </c>
      <c r="AF44" s="11" t="s">
        <v>50</v>
      </c>
      <c r="AG44" s="11" t="s">
        <v>41</v>
      </c>
      <c r="AH44" s="29">
        <v>0</v>
      </c>
      <c r="AI44" s="29">
        <v>0</v>
      </c>
    </row>
    <row r="45" spans="1:35">
      <c r="A45" s="29" t="s">
        <v>35</v>
      </c>
      <c r="B45" s="29">
        <v>193</v>
      </c>
      <c r="C45" s="11" t="s">
        <v>275</v>
      </c>
      <c r="D45" s="11" t="b">
        <v>1</v>
      </c>
      <c r="E45" s="11" t="s">
        <v>37</v>
      </c>
      <c r="F45" s="11" t="s">
        <v>276</v>
      </c>
      <c r="G45" s="29" t="s">
        <v>277</v>
      </c>
      <c r="H45" s="35" t="s">
        <v>54</v>
      </c>
      <c r="I45" s="31" t="s">
        <v>278</v>
      </c>
      <c r="J45" s="31" t="s">
        <v>121</v>
      </c>
      <c r="K45" s="31" t="s">
        <v>122</v>
      </c>
      <c r="L45" s="31" t="s">
        <v>122</v>
      </c>
      <c r="M45" s="31" t="s">
        <v>44</v>
      </c>
      <c r="N45" s="31" t="s">
        <v>279</v>
      </c>
      <c r="O45" s="31" t="s">
        <v>229</v>
      </c>
      <c r="P45" s="32" t="s">
        <v>98</v>
      </c>
      <c r="Q45" s="32" t="s">
        <v>179</v>
      </c>
      <c r="R45" s="14">
        <v>87500</v>
      </c>
      <c r="S45" s="14">
        <v>112500</v>
      </c>
      <c r="T45" s="33">
        <f t="shared" si="0"/>
        <v>200000</v>
      </c>
      <c r="U45" s="11" t="s">
        <v>49</v>
      </c>
      <c r="V45" s="11" t="s">
        <v>50</v>
      </c>
      <c r="W45" s="11" t="s">
        <v>50</v>
      </c>
      <c r="X45" s="11" t="s">
        <v>50</v>
      </c>
      <c r="Y45" s="11" t="s">
        <v>50</v>
      </c>
      <c r="Z45" s="11" t="s">
        <v>50</v>
      </c>
      <c r="AA45" s="11" t="s">
        <v>50</v>
      </c>
      <c r="AB45" s="11" t="s">
        <v>50</v>
      </c>
      <c r="AC45" s="11" t="s">
        <v>41</v>
      </c>
      <c r="AD45" s="11" t="s">
        <v>41</v>
      </c>
      <c r="AE45" s="11" t="s">
        <v>41</v>
      </c>
      <c r="AF45" s="11" t="s">
        <v>50</v>
      </c>
      <c r="AG45" s="11" t="s">
        <v>41</v>
      </c>
      <c r="AH45" s="29">
        <v>0</v>
      </c>
      <c r="AI45" s="29">
        <v>0</v>
      </c>
    </row>
    <row r="46" spans="1:35">
      <c r="C46" s="17"/>
      <c r="D46" s="17"/>
      <c r="E46" s="17"/>
    </row>
    <row r="47" spans="1:35">
      <c r="C47" s="17"/>
      <c r="D47" s="17"/>
      <c r="E47" s="17"/>
    </row>
    <row r="48" spans="1:35">
      <c r="C48" s="17"/>
      <c r="D48" s="17"/>
      <c r="E48" s="17"/>
    </row>
    <row r="49" spans="3:21">
      <c r="C49" s="17"/>
      <c r="D49" s="17"/>
      <c r="E49" s="17"/>
    </row>
    <row r="50" spans="3:21" ht="18">
      <c r="C50" s="17"/>
      <c r="D50" s="17"/>
      <c r="E50" s="17"/>
      <c r="H50" s="18"/>
    </row>
    <row r="51" spans="3:21" ht="18">
      <c r="C51" s="17"/>
      <c r="D51" s="17"/>
      <c r="E51" s="17"/>
      <c r="H51" s="18"/>
    </row>
    <row r="52" spans="3:21" ht="18">
      <c r="C52" s="17"/>
      <c r="D52" s="17"/>
      <c r="E52" s="17"/>
      <c r="H52" s="18"/>
    </row>
    <row r="53" spans="3:21" ht="18">
      <c r="C53" s="17"/>
      <c r="D53" s="17"/>
      <c r="E53" s="17"/>
      <c r="H53" s="18"/>
    </row>
    <row r="54" spans="3:21" ht="18">
      <c r="H54" s="18"/>
    </row>
    <row r="56" spans="3:21" s="2" customFormat="1">
      <c r="C56" s="16"/>
      <c r="D56" s="16"/>
      <c r="E56" s="16"/>
      <c r="F56" s="16"/>
      <c r="H56" s="3"/>
      <c r="P56" s="9"/>
      <c r="Q56" s="9"/>
      <c r="R56" s="16"/>
      <c r="S56" s="16"/>
      <c r="T56" s="16"/>
      <c r="U56" s="16"/>
    </row>
  </sheetData>
  <autoFilter ref="A1:AI45" xr:uid="{B74D73F7-559C-4130-B4B8-051C46344770}"/>
  <sortState xmlns:xlrd2="http://schemas.microsoft.com/office/spreadsheetml/2017/richdata2" ref="A2:O45">
    <sortCondition ref="M2:M45"/>
    <sortCondition ref="B2:B45"/>
  </sortState>
  <printOptions horizontalCentered="1"/>
  <pageMargins left="0.23622047244094491" right="0.23622047244094491" top="0.74803149606299213" bottom="0.74803149606299213" header="0.31496062992125984" footer="0.31496062992125984"/>
  <pageSetup paperSize="8" scale="55" fitToHeight="2" orientation="landscape" r:id="rId1"/>
  <headerFooter>
    <oddHeader>&amp;C&amp;"Aptos,Bold"&amp;16CURRENT QAS SUPPORTED RESEARCH PROJECTS
March 2025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C44A-BB08-4FEE-B9BB-46354070D557}">
  <dimension ref="A1:T84"/>
  <sheetViews>
    <sheetView zoomScale="85" zoomScaleNormal="85" workbookViewId="0">
      <selection activeCell="C81" sqref="C81"/>
    </sheetView>
  </sheetViews>
  <sheetFormatPr defaultColWidth="8.85546875" defaultRowHeight="15"/>
  <cols>
    <col min="1" max="1" width="18.140625" customWidth="1"/>
    <col min="2" max="2" width="99.42578125" bestFit="1" customWidth="1"/>
    <col min="3" max="3" width="14" bestFit="1" customWidth="1"/>
    <col min="4" max="4" width="14.42578125" bestFit="1" customWidth="1"/>
    <col min="5" max="5" width="9.7109375" bestFit="1" customWidth="1"/>
    <col min="6" max="6" width="17.28515625" bestFit="1" customWidth="1"/>
    <col min="7" max="7" width="17.7109375" bestFit="1" customWidth="1"/>
    <col min="8" max="8" width="10.28515625" bestFit="1" customWidth="1"/>
    <col min="9" max="9" width="7.28515625" customWidth="1"/>
    <col min="10" max="10" width="7.28515625" bestFit="1" customWidth="1"/>
    <col min="11" max="11" width="12.140625" customWidth="1"/>
    <col min="12" max="12" width="6.85546875" bestFit="1" customWidth="1"/>
    <col min="13" max="13" width="9" bestFit="1" customWidth="1"/>
    <col min="14" max="14" width="12.85546875" bestFit="1" customWidth="1"/>
    <col min="15" max="15" width="21.7109375" bestFit="1" customWidth="1"/>
    <col min="16" max="16" width="21.42578125" bestFit="1" customWidth="1"/>
    <col min="17" max="17" width="9.85546875" bestFit="1" customWidth="1"/>
    <col min="18" max="18" width="8.7109375" bestFit="1" customWidth="1"/>
    <col min="19" max="19" width="37" bestFit="1" customWidth="1"/>
  </cols>
  <sheetData>
    <row r="1" spans="1:20">
      <c r="A1" s="22" t="s">
        <v>280</v>
      </c>
      <c r="B1" s="22" t="s">
        <v>281</v>
      </c>
      <c r="C1" s="5" t="s">
        <v>282</v>
      </c>
      <c r="D1" s="5" t="s">
        <v>283</v>
      </c>
      <c r="E1" s="5" t="s">
        <v>284</v>
      </c>
      <c r="F1" s="5" t="s">
        <v>285</v>
      </c>
      <c r="G1" s="5" t="s">
        <v>286</v>
      </c>
      <c r="H1" s="5" t="s">
        <v>287</v>
      </c>
      <c r="I1" s="5" t="s">
        <v>288</v>
      </c>
      <c r="J1" s="5" t="s">
        <v>289</v>
      </c>
      <c r="K1" s="5" t="s">
        <v>290</v>
      </c>
      <c r="L1" s="5" t="s">
        <v>291</v>
      </c>
      <c r="M1" s="22" t="s">
        <v>292</v>
      </c>
      <c r="N1" s="22" t="s">
        <v>293</v>
      </c>
      <c r="O1" s="22" t="s">
        <v>294</v>
      </c>
      <c r="P1" s="22" t="s">
        <v>295</v>
      </c>
      <c r="Q1" s="22" t="s">
        <v>296</v>
      </c>
      <c r="R1" s="22" t="s">
        <v>297</v>
      </c>
      <c r="S1" s="22" t="s">
        <v>298</v>
      </c>
      <c r="T1" s="5" t="s">
        <v>299</v>
      </c>
    </row>
    <row r="2" spans="1:20">
      <c r="A2" s="23" t="s">
        <v>300</v>
      </c>
      <c r="B2" s="6" t="s">
        <v>301</v>
      </c>
      <c r="C2" s="19">
        <v>1</v>
      </c>
      <c r="D2" s="19">
        <v>1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24">
        <v>0</v>
      </c>
      <c r="N2" s="24">
        <v>1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4"/>
    </row>
    <row r="3" spans="1:20">
      <c r="A3" s="23" t="s">
        <v>302</v>
      </c>
      <c r="B3" s="6" t="s">
        <v>303</v>
      </c>
      <c r="C3" s="19">
        <v>1</v>
      </c>
      <c r="D3" s="19">
        <v>1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1</v>
      </c>
      <c r="K3" s="19">
        <v>0</v>
      </c>
      <c r="L3" s="19">
        <v>1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1</v>
      </c>
      <c r="T3" s="4"/>
    </row>
    <row r="4" spans="1:20">
      <c r="A4" s="23" t="s">
        <v>304</v>
      </c>
      <c r="B4" s="6" t="s">
        <v>305</v>
      </c>
      <c r="C4" s="19">
        <v>1</v>
      </c>
      <c r="D4" s="19">
        <v>1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24">
        <v>0</v>
      </c>
      <c r="N4" s="24">
        <v>0</v>
      </c>
      <c r="O4" s="24">
        <v>0</v>
      </c>
      <c r="P4" s="24">
        <v>0</v>
      </c>
      <c r="Q4" s="24">
        <v>1</v>
      </c>
      <c r="R4" s="24">
        <v>0</v>
      </c>
      <c r="S4" s="24">
        <v>0</v>
      </c>
      <c r="T4" s="4"/>
    </row>
    <row r="5" spans="1:20">
      <c r="A5" s="23" t="s">
        <v>306</v>
      </c>
      <c r="B5" s="6" t="s">
        <v>307</v>
      </c>
      <c r="C5" s="19">
        <v>0</v>
      </c>
      <c r="D5" s="19">
        <v>0</v>
      </c>
      <c r="E5" s="19">
        <v>0</v>
      </c>
      <c r="F5" s="19">
        <v>1</v>
      </c>
      <c r="G5" s="19">
        <v>1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24">
        <v>0</v>
      </c>
      <c r="N5" s="24">
        <v>1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4"/>
    </row>
    <row r="6" spans="1:20">
      <c r="A6" s="23" t="s">
        <v>308</v>
      </c>
      <c r="B6" s="6" t="s">
        <v>309</v>
      </c>
      <c r="C6" s="19">
        <v>1</v>
      </c>
      <c r="D6" s="19">
        <v>0</v>
      </c>
      <c r="E6" s="19">
        <v>0</v>
      </c>
      <c r="F6" s="19">
        <v>0</v>
      </c>
      <c r="G6" s="19">
        <v>0</v>
      </c>
      <c r="H6" s="19">
        <v>1</v>
      </c>
      <c r="I6" s="19">
        <v>0</v>
      </c>
      <c r="J6" s="19">
        <v>0</v>
      </c>
      <c r="K6" s="19">
        <v>0</v>
      </c>
      <c r="L6" s="19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4"/>
    </row>
    <row r="7" spans="1:20">
      <c r="A7" s="23" t="s">
        <v>310</v>
      </c>
      <c r="B7" s="25" t="s">
        <v>311</v>
      </c>
      <c r="C7" s="20">
        <v>1</v>
      </c>
      <c r="D7" s="20">
        <v>1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6">
        <v>0</v>
      </c>
      <c r="N7" s="26">
        <v>0</v>
      </c>
      <c r="O7" s="26">
        <v>0</v>
      </c>
      <c r="P7" s="26">
        <v>1</v>
      </c>
      <c r="Q7" s="26">
        <v>0</v>
      </c>
      <c r="R7" s="26">
        <v>0</v>
      </c>
      <c r="S7" s="26">
        <v>0</v>
      </c>
      <c r="T7" s="7"/>
    </row>
    <row r="8" spans="1:20">
      <c r="A8" s="23" t="s">
        <v>312</v>
      </c>
      <c r="B8" s="6" t="s">
        <v>313</v>
      </c>
      <c r="C8" s="19">
        <v>1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1</v>
      </c>
      <c r="K8" s="19">
        <v>0</v>
      </c>
      <c r="L8" s="19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4"/>
    </row>
    <row r="9" spans="1:20">
      <c r="A9" s="23" t="s">
        <v>314</v>
      </c>
      <c r="B9" s="6" t="s">
        <v>315</v>
      </c>
      <c r="C9" s="19">
        <v>1</v>
      </c>
      <c r="D9" s="19">
        <v>1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1</v>
      </c>
      <c r="K9" s="19">
        <v>0</v>
      </c>
      <c r="L9" s="19">
        <v>1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1</v>
      </c>
      <c r="T9" s="4"/>
    </row>
    <row r="10" spans="1:20">
      <c r="A10" s="23" t="s">
        <v>316</v>
      </c>
      <c r="B10" s="6" t="s">
        <v>317</v>
      </c>
      <c r="C10" s="19">
        <v>1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24">
        <v>0</v>
      </c>
      <c r="N10" s="24">
        <v>0</v>
      </c>
      <c r="O10" s="24">
        <v>1</v>
      </c>
      <c r="P10" s="24">
        <v>0</v>
      </c>
      <c r="Q10" s="24">
        <v>0</v>
      </c>
      <c r="R10" s="24">
        <v>0</v>
      </c>
      <c r="S10" s="24">
        <v>0</v>
      </c>
      <c r="T10" s="4"/>
    </row>
    <row r="11" spans="1:20">
      <c r="A11" s="23" t="s">
        <v>318</v>
      </c>
      <c r="B11" s="6" t="s">
        <v>319</v>
      </c>
      <c r="C11" s="19">
        <v>1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24">
        <v>0</v>
      </c>
      <c r="N11" s="24">
        <v>1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4"/>
    </row>
    <row r="12" spans="1:20">
      <c r="A12" s="23" t="s">
        <v>320</v>
      </c>
      <c r="B12" s="6" t="s">
        <v>321</v>
      </c>
      <c r="C12" s="19">
        <v>1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24">
        <v>0</v>
      </c>
      <c r="N12" s="24">
        <v>0</v>
      </c>
      <c r="O12" s="24">
        <v>1</v>
      </c>
      <c r="P12" s="24">
        <v>0</v>
      </c>
      <c r="Q12" s="24">
        <v>0</v>
      </c>
      <c r="R12" s="24">
        <v>0</v>
      </c>
      <c r="S12" s="24">
        <v>0</v>
      </c>
      <c r="T12" s="4"/>
    </row>
    <row r="13" spans="1:20">
      <c r="A13" s="23" t="s">
        <v>322</v>
      </c>
      <c r="B13" s="6" t="s">
        <v>323</v>
      </c>
      <c r="C13" s="19">
        <v>1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24">
        <v>0</v>
      </c>
      <c r="N13" s="24">
        <v>0</v>
      </c>
      <c r="O13" s="24">
        <v>1</v>
      </c>
      <c r="P13" s="24">
        <v>0</v>
      </c>
      <c r="Q13" s="24">
        <v>0</v>
      </c>
      <c r="R13" s="24">
        <v>0</v>
      </c>
      <c r="S13" s="24">
        <v>0</v>
      </c>
      <c r="T13" s="4"/>
    </row>
    <row r="14" spans="1:20">
      <c r="A14" s="23" t="s">
        <v>324</v>
      </c>
      <c r="B14" s="6" t="s">
        <v>325</v>
      </c>
      <c r="C14" s="19">
        <v>1</v>
      </c>
      <c r="D14" s="19">
        <v>1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0</v>
      </c>
      <c r="L14" s="19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4"/>
    </row>
    <row r="15" spans="1:20">
      <c r="A15" s="23" t="s">
        <v>326</v>
      </c>
      <c r="B15" s="6" t="s">
        <v>327</v>
      </c>
      <c r="C15" s="19">
        <v>1</v>
      </c>
      <c r="D15" s="19">
        <v>0</v>
      </c>
      <c r="E15" s="19">
        <v>0</v>
      </c>
      <c r="F15" s="19">
        <v>0</v>
      </c>
      <c r="G15" s="19">
        <v>0</v>
      </c>
      <c r="H15" s="19">
        <v>1</v>
      </c>
      <c r="I15" s="19">
        <v>0</v>
      </c>
      <c r="J15" s="19">
        <v>0</v>
      </c>
      <c r="K15" s="19">
        <v>0</v>
      </c>
      <c r="L15" s="19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4"/>
    </row>
    <row r="16" spans="1:20">
      <c r="A16" s="23" t="s">
        <v>328</v>
      </c>
      <c r="B16" s="25" t="s">
        <v>329</v>
      </c>
      <c r="C16" s="19">
        <v>1</v>
      </c>
      <c r="D16" s="19">
        <v>0</v>
      </c>
      <c r="E16" s="19">
        <v>0</v>
      </c>
      <c r="F16" s="19">
        <v>0</v>
      </c>
      <c r="G16" s="19">
        <v>0</v>
      </c>
      <c r="H16" s="19">
        <v>1</v>
      </c>
      <c r="I16" s="19">
        <v>0</v>
      </c>
      <c r="J16" s="19">
        <v>0</v>
      </c>
      <c r="K16" s="19">
        <v>0</v>
      </c>
      <c r="L16" s="19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4"/>
    </row>
    <row r="17" spans="1:20">
      <c r="A17" s="23" t="s">
        <v>330</v>
      </c>
      <c r="B17" s="6" t="s">
        <v>331</v>
      </c>
      <c r="C17" s="19">
        <v>1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1</v>
      </c>
      <c r="M17" s="24">
        <v>0</v>
      </c>
      <c r="N17" s="24">
        <v>0</v>
      </c>
      <c r="O17" s="24">
        <v>1</v>
      </c>
      <c r="P17" s="24">
        <v>0</v>
      </c>
      <c r="Q17" s="24">
        <v>0</v>
      </c>
      <c r="R17" s="24">
        <v>0</v>
      </c>
      <c r="S17" s="24">
        <v>0</v>
      </c>
      <c r="T17" s="4"/>
    </row>
    <row r="18" spans="1:20">
      <c r="A18" s="23" t="s">
        <v>332</v>
      </c>
      <c r="B18" s="6" t="s">
        <v>333</v>
      </c>
      <c r="C18" s="19">
        <v>1</v>
      </c>
      <c r="D18" s="19">
        <v>1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24">
        <v>0</v>
      </c>
      <c r="N18" s="24">
        <v>0</v>
      </c>
      <c r="O18" s="24">
        <v>0</v>
      </c>
      <c r="P18" s="24">
        <v>1</v>
      </c>
      <c r="Q18" s="24">
        <v>0</v>
      </c>
      <c r="R18" s="24">
        <v>0</v>
      </c>
      <c r="S18" s="24">
        <v>0</v>
      </c>
      <c r="T18" s="4"/>
    </row>
    <row r="19" spans="1:20">
      <c r="A19" s="23" t="s">
        <v>334</v>
      </c>
      <c r="B19" s="6" t="s">
        <v>335</v>
      </c>
      <c r="C19" s="19">
        <v>1</v>
      </c>
      <c r="D19" s="19">
        <v>1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24">
        <v>0</v>
      </c>
      <c r="N19" s="24">
        <v>0</v>
      </c>
      <c r="O19" s="24">
        <v>1</v>
      </c>
      <c r="P19" s="24">
        <v>0</v>
      </c>
      <c r="Q19" s="24">
        <v>0</v>
      </c>
      <c r="R19" s="24">
        <v>0</v>
      </c>
      <c r="S19" s="24">
        <v>0</v>
      </c>
      <c r="T19" s="4"/>
    </row>
    <row r="20" spans="1:20">
      <c r="A20" s="23" t="s">
        <v>336</v>
      </c>
      <c r="B20" s="6" t="s">
        <v>337</v>
      </c>
      <c r="C20" s="19">
        <v>1</v>
      </c>
      <c r="D20" s="19">
        <v>1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24">
        <v>0</v>
      </c>
      <c r="N20" s="24">
        <v>0</v>
      </c>
      <c r="O20" s="24">
        <v>0</v>
      </c>
      <c r="P20" s="24">
        <v>0</v>
      </c>
      <c r="Q20" s="24">
        <v>1</v>
      </c>
      <c r="R20" s="24">
        <v>0</v>
      </c>
      <c r="S20" s="24">
        <v>0</v>
      </c>
      <c r="T20" s="4"/>
    </row>
    <row r="21" spans="1:20">
      <c r="A21" s="23" t="s">
        <v>338</v>
      </c>
      <c r="B21" s="6" t="s">
        <v>339</v>
      </c>
      <c r="C21" s="19">
        <v>1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1</v>
      </c>
      <c r="M21" s="24">
        <v>0</v>
      </c>
      <c r="N21" s="24">
        <v>1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4"/>
    </row>
    <row r="22" spans="1:20">
      <c r="A22" s="23" t="s">
        <v>340</v>
      </c>
      <c r="B22" s="6" t="s">
        <v>341</v>
      </c>
      <c r="C22" s="19">
        <v>1</v>
      </c>
      <c r="D22" s="19">
        <v>0</v>
      </c>
      <c r="E22" s="19">
        <v>0</v>
      </c>
      <c r="F22" s="19">
        <v>0</v>
      </c>
      <c r="G22" s="19">
        <v>0</v>
      </c>
      <c r="H22" s="19">
        <v>1</v>
      </c>
      <c r="I22" s="19">
        <v>0</v>
      </c>
      <c r="J22" s="19">
        <v>0</v>
      </c>
      <c r="K22" s="19">
        <v>0</v>
      </c>
      <c r="L22" s="19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4"/>
    </row>
    <row r="23" spans="1:20">
      <c r="A23" s="23" t="s">
        <v>342</v>
      </c>
      <c r="B23" s="25" t="s">
        <v>343</v>
      </c>
      <c r="C23" s="20">
        <v>0</v>
      </c>
      <c r="D23" s="20">
        <v>0</v>
      </c>
      <c r="E23" s="20">
        <v>0</v>
      </c>
      <c r="F23" s="20">
        <v>1</v>
      </c>
      <c r="G23" s="20">
        <v>0</v>
      </c>
      <c r="H23" s="20">
        <v>1</v>
      </c>
      <c r="I23" s="20">
        <v>0</v>
      </c>
      <c r="J23" s="20">
        <v>0</v>
      </c>
      <c r="K23" s="20">
        <v>0</v>
      </c>
      <c r="L23" s="20">
        <v>1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7"/>
    </row>
    <row r="24" spans="1:20">
      <c r="A24" s="23" t="s">
        <v>344</v>
      </c>
      <c r="B24" s="6" t="s">
        <v>345</v>
      </c>
      <c r="C24" s="19">
        <v>1</v>
      </c>
      <c r="D24" s="19">
        <v>1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1</v>
      </c>
      <c r="M24" s="24">
        <v>1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4"/>
    </row>
    <row r="25" spans="1:20">
      <c r="A25" s="23" t="s">
        <v>346</v>
      </c>
      <c r="B25" s="6" t="s">
        <v>41</v>
      </c>
      <c r="C25" s="19">
        <v>1</v>
      </c>
      <c r="D25" s="19">
        <v>1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1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4"/>
    </row>
    <row r="26" spans="1:20">
      <c r="A26" s="23" t="s">
        <v>347</v>
      </c>
      <c r="B26" s="6" t="s">
        <v>348</v>
      </c>
      <c r="C26" s="19">
        <v>1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1</v>
      </c>
      <c r="K26" s="19">
        <v>0</v>
      </c>
      <c r="L26" s="19">
        <v>0</v>
      </c>
      <c r="M26" s="24">
        <v>0</v>
      </c>
      <c r="N26" s="24">
        <v>0</v>
      </c>
      <c r="O26" s="24">
        <v>0</v>
      </c>
      <c r="P26" s="24">
        <v>0</v>
      </c>
      <c r="Q26" s="24">
        <v>1</v>
      </c>
      <c r="R26" s="24">
        <v>0</v>
      </c>
      <c r="S26" s="24">
        <v>0</v>
      </c>
      <c r="T26" s="4"/>
    </row>
    <row r="27" spans="1:20">
      <c r="A27" s="23" t="s">
        <v>349</v>
      </c>
      <c r="B27" s="6" t="s">
        <v>350</v>
      </c>
      <c r="C27" s="19">
        <v>1</v>
      </c>
      <c r="D27" s="19">
        <v>1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24">
        <v>0</v>
      </c>
      <c r="N27" s="24">
        <v>0</v>
      </c>
      <c r="O27" s="24">
        <v>0</v>
      </c>
      <c r="P27" s="24">
        <v>1</v>
      </c>
      <c r="Q27" s="24">
        <v>0</v>
      </c>
      <c r="R27" s="24">
        <v>0</v>
      </c>
      <c r="S27" s="24">
        <v>0</v>
      </c>
      <c r="T27" s="4"/>
    </row>
    <row r="28" spans="1:20">
      <c r="A28" s="23" t="s">
        <v>351</v>
      </c>
      <c r="B28" s="25" t="s">
        <v>352</v>
      </c>
      <c r="C28" s="20">
        <v>1</v>
      </c>
      <c r="D28" s="20">
        <v>1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1</v>
      </c>
      <c r="M28" s="26">
        <v>1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7"/>
    </row>
    <row r="29" spans="1:20">
      <c r="A29" s="23" t="s">
        <v>353</v>
      </c>
      <c r="B29" s="25" t="s">
        <v>354</v>
      </c>
      <c r="C29" s="20">
        <v>1</v>
      </c>
      <c r="D29" s="20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6">
        <v>0</v>
      </c>
      <c r="N29" s="26">
        <v>0</v>
      </c>
      <c r="O29" s="26">
        <v>0</v>
      </c>
      <c r="P29" s="26">
        <v>0</v>
      </c>
      <c r="Q29" s="26">
        <v>1</v>
      </c>
      <c r="R29" s="26">
        <v>0</v>
      </c>
      <c r="S29" s="26">
        <v>0</v>
      </c>
      <c r="T29" s="7"/>
    </row>
    <row r="30" spans="1:20">
      <c r="A30" s="23" t="s">
        <v>355</v>
      </c>
      <c r="B30" s="6" t="s">
        <v>356</v>
      </c>
      <c r="C30" s="19">
        <v>1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24">
        <v>0</v>
      </c>
      <c r="N30" s="24">
        <v>0</v>
      </c>
      <c r="O30" s="24">
        <v>1</v>
      </c>
      <c r="P30" s="24">
        <v>0</v>
      </c>
      <c r="Q30" s="24">
        <v>0</v>
      </c>
      <c r="R30" s="24">
        <v>0</v>
      </c>
      <c r="S30" s="24">
        <v>0</v>
      </c>
      <c r="T30" s="4"/>
    </row>
    <row r="31" spans="1:20">
      <c r="A31" s="23" t="s">
        <v>357</v>
      </c>
      <c r="B31" s="6" t="s">
        <v>358</v>
      </c>
      <c r="C31" s="19">
        <v>1</v>
      </c>
      <c r="D31" s="19">
        <v>0</v>
      </c>
      <c r="E31" s="19">
        <v>0</v>
      </c>
      <c r="F31" s="19">
        <v>0</v>
      </c>
      <c r="G31" s="19">
        <v>0</v>
      </c>
      <c r="H31" s="19">
        <v>1</v>
      </c>
      <c r="I31" s="19">
        <v>0</v>
      </c>
      <c r="J31" s="19" t="s">
        <v>299</v>
      </c>
      <c r="K31" s="19">
        <v>0</v>
      </c>
      <c r="L31" s="19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4"/>
    </row>
    <row r="32" spans="1:20">
      <c r="A32" s="23" t="s">
        <v>359</v>
      </c>
      <c r="B32" s="6" t="s">
        <v>41</v>
      </c>
      <c r="C32" s="19">
        <v>1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4"/>
    </row>
    <row r="33" spans="1:20">
      <c r="A33" s="23" t="s">
        <v>360</v>
      </c>
      <c r="B33" s="6" t="s">
        <v>361</v>
      </c>
      <c r="C33" s="19">
        <v>1</v>
      </c>
      <c r="D33" s="19">
        <v>1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24">
        <v>0</v>
      </c>
      <c r="N33" s="24">
        <v>1</v>
      </c>
      <c r="O33" s="24">
        <v>0</v>
      </c>
      <c r="P33" s="24">
        <v>0</v>
      </c>
      <c r="Q33" s="24">
        <v>0</v>
      </c>
      <c r="R33" s="27">
        <v>0</v>
      </c>
      <c r="S33" s="27">
        <v>0</v>
      </c>
      <c r="T33" s="4"/>
    </row>
    <row r="34" spans="1:20">
      <c r="A34" s="23" t="s">
        <v>362</v>
      </c>
      <c r="B34" s="6" t="s">
        <v>363</v>
      </c>
      <c r="C34" s="19">
        <v>1</v>
      </c>
      <c r="D34" s="19">
        <v>1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24">
        <v>0</v>
      </c>
      <c r="N34" s="24">
        <v>1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4"/>
    </row>
    <row r="35" spans="1:20">
      <c r="A35" s="23" t="s">
        <v>364</v>
      </c>
      <c r="B35" s="6" t="s">
        <v>365</v>
      </c>
      <c r="C35" s="19">
        <v>0</v>
      </c>
      <c r="D35" s="19">
        <v>0</v>
      </c>
      <c r="E35" s="19">
        <v>0</v>
      </c>
      <c r="F35" s="19">
        <v>1</v>
      </c>
      <c r="G35" s="19">
        <v>1</v>
      </c>
      <c r="H35" s="19">
        <v>0</v>
      </c>
      <c r="I35" s="19">
        <v>0</v>
      </c>
      <c r="J35" s="19">
        <v>0</v>
      </c>
      <c r="K35" s="19">
        <v>0</v>
      </c>
      <c r="L35" s="19">
        <v>1</v>
      </c>
      <c r="M35" s="24">
        <v>0</v>
      </c>
      <c r="N35" s="24">
        <v>1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4"/>
    </row>
    <row r="36" spans="1:20">
      <c r="A36" s="23" t="s">
        <v>366</v>
      </c>
      <c r="B36" s="6" t="s">
        <v>367</v>
      </c>
      <c r="C36" s="19">
        <v>1</v>
      </c>
      <c r="D36" s="19">
        <v>1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24">
        <v>0</v>
      </c>
      <c r="N36" s="24">
        <v>1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4"/>
    </row>
    <row r="37" spans="1:20">
      <c r="A37" s="23" t="s">
        <v>368</v>
      </c>
      <c r="B37" s="6" t="s">
        <v>369</v>
      </c>
      <c r="C37" s="19">
        <v>1</v>
      </c>
      <c r="D37" s="19">
        <v>0</v>
      </c>
      <c r="E37" s="19">
        <v>0</v>
      </c>
      <c r="F37" s="19">
        <v>0</v>
      </c>
      <c r="G37" s="19">
        <v>0</v>
      </c>
      <c r="H37" s="19">
        <v>1</v>
      </c>
      <c r="I37" s="19">
        <v>0</v>
      </c>
      <c r="J37" s="19">
        <v>0</v>
      </c>
      <c r="K37" s="19">
        <v>0</v>
      </c>
      <c r="L37" s="19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4"/>
    </row>
    <row r="38" spans="1:20">
      <c r="A38" s="23" t="s">
        <v>370</v>
      </c>
      <c r="B38" s="6" t="s">
        <v>371</v>
      </c>
      <c r="C38" s="19">
        <v>1</v>
      </c>
      <c r="D38" s="19">
        <v>1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24">
        <v>0</v>
      </c>
      <c r="N38" s="24">
        <v>0</v>
      </c>
      <c r="O38" s="24">
        <v>1</v>
      </c>
      <c r="P38" s="24">
        <v>0</v>
      </c>
      <c r="Q38" s="24">
        <v>0</v>
      </c>
      <c r="R38" s="24">
        <v>0</v>
      </c>
      <c r="S38" s="24">
        <v>0</v>
      </c>
      <c r="T38" s="4"/>
    </row>
    <row r="39" spans="1:20">
      <c r="A39" s="23" t="s">
        <v>372</v>
      </c>
      <c r="B39" s="6" t="s">
        <v>373</v>
      </c>
      <c r="C39" s="19">
        <v>0</v>
      </c>
      <c r="D39" s="19">
        <v>0</v>
      </c>
      <c r="E39" s="19">
        <v>0</v>
      </c>
      <c r="F39" s="19">
        <v>1</v>
      </c>
      <c r="G39" s="19">
        <v>1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24">
        <v>0</v>
      </c>
      <c r="N39" s="24">
        <v>0</v>
      </c>
      <c r="O39" s="24">
        <v>1</v>
      </c>
      <c r="P39" s="24">
        <v>0</v>
      </c>
      <c r="Q39" s="24">
        <v>0</v>
      </c>
      <c r="R39" s="24">
        <v>0</v>
      </c>
      <c r="S39" s="24">
        <v>0</v>
      </c>
      <c r="T39" s="4"/>
    </row>
    <row r="40" spans="1:20">
      <c r="A40" s="23" t="s">
        <v>374</v>
      </c>
      <c r="B40" s="6" t="s">
        <v>375</v>
      </c>
      <c r="C40" s="19">
        <v>1</v>
      </c>
      <c r="D40" s="19">
        <v>1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24">
        <v>0</v>
      </c>
      <c r="N40" s="24">
        <v>0</v>
      </c>
      <c r="O40" s="24">
        <v>1</v>
      </c>
      <c r="P40" s="24">
        <v>0</v>
      </c>
      <c r="Q40" s="24">
        <v>0</v>
      </c>
      <c r="R40" s="24">
        <v>0</v>
      </c>
      <c r="S40" s="24">
        <v>0</v>
      </c>
      <c r="T40" s="4"/>
    </row>
    <row r="41" spans="1:20">
      <c r="A41" s="23" t="s">
        <v>376</v>
      </c>
      <c r="B41" s="6" t="s">
        <v>377</v>
      </c>
      <c r="C41" s="19">
        <v>1</v>
      </c>
      <c r="D41" s="19">
        <v>1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24">
        <v>0</v>
      </c>
      <c r="N41" s="24">
        <v>0</v>
      </c>
      <c r="O41" s="24">
        <v>0</v>
      </c>
      <c r="P41" s="24">
        <v>1</v>
      </c>
      <c r="Q41" s="24">
        <v>0</v>
      </c>
      <c r="R41" s="24">
        <v>0</v>
      </c>
      <c r="S41" s="24">
        <v>0</v>
      </c>
      <c r="T41" s="4"/>
    </row>
    <row r="42" spans="1:20">
      <c r="A42" s="23" t="s">
        <v>378</v>
      </c>
      <c r="B42" s="6" t="s">
        <v>379</v>
      </c>
      <c r="C42" s="19">
        <v>1</v>
      </c>
      <c r="D42" s="19">
        <v>1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1</v>
      </c>
      <c r="M42" s="24">
        <v>0</v>
      </c>
      <c r="N42" s="24">
        <v>0</v>
      </c>
      <c r="O42" s="24">
        <v>0</v>
      </c>
      <c r="P42" s="24">
        <v>0</v>
      </c>
      <c r="Q42" s="24">
        <v>1</v>
      </c>
      <c r="R42" s="24">
        <v>0</v>
      </c>
      <c r="S42" s="24">
        <v>0</v>
      </c>
      <c r="T42" s="4"/>
    </row>
    <row r="43" spans="1:20">
      <c r="A43" s="23" t="s">
        <v>380</v>
      </c>
      <c r="B43" s="6" t="s">
        <v>381</v>
      </c>
      <c r="C43" s="19">
        <v>1</v>
      </c>
      <c r="D43" s="19">
        <v>0</v>
      </c>
      <c r="E43" s="19">
        <v>0</v>
      </c>
      <c r="F43" s="19">
        <v>0</v>
      </c>
      <c r="G43" s="19">
        <v>0</v>
      </c>
      <c r="H43" s="19">
        <v>1</v>
      </c>
      <c r="I43" s="19">
        <v>0</v>
      </c>
      <c r="J43" s="19">
        <v>0</v>
      </c>
      <c r="K43" s="19">
        <v>0</v>
      </c>
      <c r="L43" s="19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4"/>
    </row>
    <row r="44" spans="1:20">
      <c r="A44" s="23" t="s">
        <v>382</v>
      </c>
      <c r="B44" s="6" t="s">
        <v>383</v>
      </c>
      <c r="C44" s="19">
        <v>1</v>
      </c>
      <c r="D44" s="19">
        <v>1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24">
        <v>0</v>
      </c>
      <c r="N44" s="24">
        <v>0</v>
      </c>
      <c r="O44" s="24">
        <v>0</v>
      </c>
      <c r="P44" s="24">
        <v>1</v>
      </c>
      <c r="Q44" s="24">
        <v>0</v>
      </c>
      <c r="R44" s="24">
        <v>0</v>
      </c>
      <c r="S44" s="24">
        <v>0</v>
      </c>
      <c r="T44" s="4"/>
    </row>
    <row r="45" spans="1:20">
      <c r="A45" s="23" t="s">
        <v>384</v>
      </c>
      <c r="B45" s="6" t="s">
        <v>345</v>
      </c>
      <c r="C45" s="19">
        <v>1</v>
      </c>
      <c r="D45" s="19">
        <v>1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1</v>
      </c>
      <c r="M45" s="24">
        <v>1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4"/>
    </row>
    <row r="46" spans="1:20">
      <c r="A46" s="23" t="s">
        <v>385</v>
      </c>
      <c r="B46" s="6" t="s">
        <v>386</v>
      </c>
      <c r="C46" s="19">
        <v>1</v>
      </c>
      <c r="D46" s="19">
        <v>1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1</v>
      </c>
      <c r="M46" s="24">
        <v>0</v>
      </c>
      <c r="N46" s="24">
        <v>1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4"/>
    </row>
    <row r="47" spans="1:20">
      <c r="A47" s="23" t="s">
        <v>387</v>
      </c>
      <c r="B47" s="6" t="s">
        <v>388</v>
      </c>
      <c r="C47" s="19">
        <v>1</v>
      </c>
      <c r="D47" s="19">
        <v>1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24">
        <v>0</v>
      </c>
      <c r="N47" s="24">
        <v>0</v>
      </c>
      <c r="O47" s="24">
        <v>1</v>
      </c>
      <c r="P47" s="24">
        <v>0</v>
      </c>
      <c r="Q47" s="24">
        <v>0</v>
      </c>
      <c r="R47" s="24">
        <v>0</v>
      </c>
      <c r="S47" s="24">
        <v>0</v>
      </c>
      <c r="T47" s="4"/>
    </row>
    <row r="48" spans="1:20">
      <c r="A48" s="23" t="s">
        <v>389</v>
      </c>
      <c r="B48" s="6" t="s">
        <v>390</v>
      </c>
      <c r="C48" s="19">
        <v>1</v>
      </c>
      <c r="D48" s="19">
        <v>0</v>
      </c>
      <c r="E48" s="19">
        <v>0</v>
      </c>
      <c r="F48" s="19">
        <v>0</v>
      </c>
      <c r="G48" s="19">
        <v>0</v>
      </c>
      <c r="H48" s="19">
        <v>1</v>
      </c>
      <c r="I48" s="19">
        <v>0</v>
      </c>
      <c r="J48" s="19">
        <v>0</v>
      </c>
      <c r="K48" s="19">
        <v>0</v>
      </c>
      <c r="L48" s="19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4"/>
    </row>
    <row r="49" spans="1:20">
      <c r="A49" s="23" t="s">
        <v>391</v>
      </c>
      <c r="B49" s="6" t="s">
        <v>392</v>
      </c>
      <c r="C49" s="19">
        <v>1</v>
      </c>
      <c r="D49" s="19">
        <v>1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1</v>
      </c>
      <c r="M49" s="24">
        <v>0</v>
      </c>
      <c r="N49" s="24">
        <v>1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4"/>
    </row>
    <row r="50" spans="1:20">
      <c r="A50" s="23" t="s">
        <v>393</v>
      </c>
      <c r="B50" s="6" t="s">
        <v>394</v>
      </c>
      <c r="C50" s="19">
        <v>1</v>
      </c>
      <c r="D50" s="19">
        <v>1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24">
        <v>0</v>
      </c>
      <c r="N50" s="24">
        <v>0</v>
      </c>
      <c r="O50" s="24">
        <v>1</v>
      </c>
      <c r="P50" s="24">
        <v>0</v>
      </c>
      <c r="Q50" s="24">
        <v>0</v>
      </c>
      <c r="R50" s="24">
        <v>0</v>
      </c>
      <c r="S50" s="24">
        <v>0</v>
      </c>
      <c r="T50" s="4"/>
    </row>
    <row r="51" spans="1:20">
      <c r="A51" s="23" t="s">
        <v>395</v>
      </c>
      <c r="B51" s="6" t="s">
        <v>396</v>
      </c>
      <c r="C51" s="19">
        <v>1</v>
      </c>
      <c r="D51" s="19">
        <v>1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24">
        <v>0</v>
      </c>
      <c r="N51" s="24">
        <v>0</v>
      </c>
      <c r="O51" s="24">
        <v>0</v>
      </c>
      <c r="P51" s="24">
        <v>0</v>
      </c>
      <c r="Q51" s="24">
        <v>1</v>
      </c>
      <c r="R51" s="24">
        <v>0</v>
      </c>
      <c r="S51" s="24">
        <v>0</v>
      </c>
      <c r="T51" s="4"/>
    </row>
    <row r="52" spans="1:20">
      <c r="A52" s="23" t="s">
        <v>397</v>
      </c>
      <c r="B52" s="6" t="s">
        <v>398</v>
      </c>
      <c r="C52" s="19">
        <v>1</v>
      </c>
      <c r="D52" s="19">
        <v>1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1</v>
      </c>
      <c r="M52" s="24">
        <v>0</v>
      </c>
      <c r="N52" s="24">
        <v>1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4"/>
    </row>
    <row r="53" spans="1:20">
      <c r="A53" s="23" t="s">
        <v>399</v>
      </c>
      <c r="B53" s="6" t="s">
        <v>400</v>
      </c>
      <c r="C53" s="19">
        <v>1</v>
      </c>
      <c r="D53" s="19">
        <v>1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1</v>
      </c>
      <c r="M53" s="24">
        <v>0</v>
      </c>
      <c r="N53" s="24">
        <v>0</v>
      </c>
      <c r="O53" s="24">
        <v>0</v>
      </c>
      <c r="P53" s="24">
        <v>1</v>
      </c>
      <c r="Q53" s="24">
        <v>0</v>
      </c>
      <c r="R53" s="24">
        <v>0</v>
      </c>
      <c r="S53" s="24">
        <v>0</v>
      </c>
      <c r="T53" s="4"/>
    </row>
    <row r="54" spans="1:20">
      <c r="A54" s="23" t="s">
        <v>401</v>
      </c>
      <c r="B54" s="6" t="s">
        <v>402</v>
      </c>
      <c r="C54" s="19">
        <v>1</v>
      </c>
      <c r="D54" s="19">
        <v>1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24">
        <v>0</v>
      </c>
      <c r="N54" s="24">
        <v>0</v>
      </c>
      <c r="O54" s="24">
        <v>1</v>
      </c>
      <c r="P54" s="24">
        <v>0</v>
      </c>
      <c r="Q54" s="24">
        <v>0</v>
      </c>
      <c r="R54" s="24">
        <v>0</v>
      </c>
      <c r="S54" s="24">
        <v>0</v>
      </c>
      <c r="T54" s="4"/>
    </row>
    <row r="55" spans="1:20">
      <c r="A55" s="23" t="s">
        <v>403</v>
      </c>
      <c r="B55" s="6" t="s">
        <v>404</v>
      </c>
      <c r="C55" s="19">
        <v>1</v>
      </c>
      <c r="D55" s="19">
        <v>1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24">
        <v>0</v>
      </c>
      <c r="N55" s="24">
        <v>0</v>
      </c>
      <c r="O55" s="24">
        <v>1</v>
      </c>
      <c r="P55" s="24">
        <v>0</v>
      </c>
      <c r="Q55" s="24">
        <v>0</v>
      </c>
      <c r="R55" s="24">
        <v>0</v>
      </c>
      <c r="S55" s="24">
        <v>0</v>
      </c>
      <c r="T55" s="4"/>
    </row>
    <row r="56" spans="1:20">
      <c r="A56" s="23" t="s">
        <v>405</v>
      </c>
      <c r="B56" s="6" t="s">
        <v>406</v>
      </c>
      <c r="C56" s="19">
        <v>1</v>
      </c>
      <c r="D56" s="19">
        <v>1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1</v>
      </c>
      <c r="M56" s="24">
        <v>1</v>
      </c>
      <c r="N56" s="24">
        <v>0</v>
      </c>
      <c r="O56" s="24">
        <v>0</v>
      </c>
      <c r="P56" s="24">
        <v>0</v>
      </c>
      <c r="Q56" s="24">
        <v>0</v>
      </c>
      <c r="R56" s="24">
        <v>1</v>
      </c>
      <c r="S56" s="24">
        <v>0</v>
      </c>
      <c r="T56" s="4"/>
    </row>
    <row r="57" spans="1:20">
      <c r="A57" s="23" t="s">
        <v>407</v>
      </c>
      <c r="B57" s="6" t="s">
        <v>408</v>
      </c>
      <c r="C57" s="19">
        <v>0</v>
      </c>
      <c r="D57" s="19">
        <v>0</v>
      </c>
      <c r="E57" s="19">
        <v>0</v>
      </c>
      <c r="F57" s="19">
        <v>1</v>
      </c>
      <c r="G57" s="19">
        <v>1</v>
      </c>
      <c r="H57" s="19">
        <v>0</v>
      </c>
      <c r="I57" s="19">
        <v>0</v>
      </c>
      <c r="J57" s="19">
        <v>0</v>
      </c>
      <c r="K57" s="19">
        <v>0</v>
      </c>
      <c r="L57" s="19">
        <v>1</v>
      </c>
      <c r="M57" s="24">
        <v>0</v>
      </c>
      <c r="N57" s="24">
        <v>0</v>
      </c>
      <c r="O57" s="24">
        <v>0</v>
      </c>
      <c r="P57" s="24">
        <v>0</v>
      </c>
      <c r="Q57" s="24">
        <v>1</v>
      </c>
      <c r="R57" s="24">
        <v>0</v>
      </c>
      <c r="S57" s="24">
        <v>0</v>
      </c>
      <c r="T57" s="4"/>
    </row>
    <row r="58" spans="1:20">
      <c r="A58" s="23" t="s">
        <v>409</v>
      </c>
      <c r="B58" s="6" t="s">
        <v>410</v>
      </c>
      <c r="C58" s="19">
        <v>1</v>
      </c>
      <c r="D58" s="19">
        <v>1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24">
        <v>0</v>
      </c>
      <c r="N58" s="24">
        <v>0</v>
      </c>
      <c r="O58" s="24">
        <v>0</v>
      </c>
      <c r="P58" s="24">
        <v>0</v>
      </c>
      <c r="Q58" s="24">
        <v>1</v>
      </c>
      <c r="R58" s="24">
        <v>0</v>
      </c>
      <c r="S58" s="24">
        <v>0</v>
      </c>
      <c r="T58" s="4"/>
    </row>
    <row r="59" spans="1:20">
      <c r="A59" s="23" t="s">
        <v>411</v>
      </c>
      <c r="B59" s="6" t="s">
        <v>412</v>
      </c>
      <c r="C59" s="20">
        <v>1</v>
      </c>
      <c r="D59" s="19">
        <v>1</v>
      </c>
      <c r="E59" s="21">
        <v>0</v>
      </c>
      <c r="F59" s="21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24">
        <v>0</v>
      </c>
      <c r="N59" s="24">
        <v>0</v>
      </c>
      <c r="O59" s="24">
        <v>0</v>
      </c>
      <c r="P59" s="24">
        <v>0</v>
      </c>
      <c r="Q59" s="24">
        <v>1</v>
      </c>
      <c r="R59" s="24">
        <v>0</v>
      </c>
      <c r="S59" s="24">
        <v>0</v>
      </c>
      <c r="T59" s="4"/>
    </row>
    <row r="60" spans="1:20">
      <c r="A60" s="23" t="s">
        <v>413</v>
      </c>
      <c r="B60" s="6" t="s">
        <v>414</v>
      </c>
      <c r="C60" s="19">
        <v>1</v>
      </c>
      <c r="D60" s="19">
        <v>1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1</v>
      </c>
      <c r="K60" s="19">
        <v>0</v>
      </c>
      <c r="L60" s="19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4"/>
    </row>
    <row r="61" spans="1:20">
      <c r="A61" s="23" t="s">
        <v>415</v>
      </c>
      <c r="B61" s="6" t="s">
        <v>416</v>
      </c>
      <c r="C61" s="19">
        <v>0</v>
      </c>
      <c r="D61" s="19">
        <v>0</v>
      </c>
      <c r="E61" s="19">
        <v>0</v>
      </c>
      <c r="F61" s="19">
        <v>1</v>
      </c>
      <c r="G61" s="19">
        <v>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24">
        <v>0</v>
      </c>
      <c r="N61" s="24">
        <v>0</v>
      </c>
      <c r="O61" s="24">
        <v>0</v>
      </c>
      <c r="P61" s="24">
        <v>0</v>
      </c>
      <c r="Q61" s="24">
        <v>1</v>
      </c>
      <c r="R61" s="24">
        <v>0</v>
      </c>
      <c r="S61" s="24">
        <v>0</v>
      </c>
      <c r="T61" s="4"/>
    </row>
    <row r="62" spans="1:20">
      <c r="A62" s="23" t="s">
        <v>417</v>
      </c>
      <c r="B62" s="6" t="s">
        <v>418</v>
      </c>
      <c r="C62" s="19">
        <v>1</v>
      </c>
      <c r="D62" s="19">
        <v>0</v>
      </c>
      <c r="E62" s="19">
        <v>0</v>
      </c>
      <c r="F62" s="19">
        <v>0</v>
      </c>
      <c r="G62" s="19">
        <v>0</v>
      </c>
      <c r="H62" s="19">
        <v>1</v>
      </c>
      <c r="I62" s="19">
        <v>0</v>
      </c>
      <c r="J62" s="19">
        <v>0</v>
      </c>
      <c r="K62" s="19">
        <v>0</v>
      </c>
      <c r="L62" s="19">
        <v>1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1</v>
      </c>
      <c r="S62" s="24">
        <v>0</v>
      </c>
      <c r="T62" s="4"/>
    </row>
    <row r="63" spans="1:20">
      <c r="A63" s="23" t="s">
        <v>419</v>
      </c>
      <c r="B63" s="6" t="s">
        <v>420</v>
      </c>
      <c r="C63" s="19">
        <v>1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1</v>
      </c>
      <c r="K63" s="19">
        <v>0</v>
      </c>
      <c r="L63" s="19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4"/>
    </row>
    <row r="64" spans="1:20">
      <c r="A64" s="23" t="s">
        <v>421</v>
      </c>
      <c r="B64" s="6" t="s">
        <v>422</v>
      </c>
      <c r="C64" s="19">
        <v>1</v>
      </c>
      <c r="D64" s="19">
        <v>0</v>
      </c>
      <c r="E64" s="19">
        <v>0</v>
      </c>
      <c r="F64" s="19">
        <v>0</v>
      </c>
      <c r="G64" s="19">
        <v>0</v>
      </c>
      <c r="H64" s="20">
        <v>1</v>
      </c>
      <c r="I64" s="21">
        <v>0</v>
      </c>
      <c r="J64" s="21">
        <v>0</v>
      </c>
      <c r="K64" s="19">
        <v>0</v>
      </c>
      <c r="L64" s="19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4"/>
    </row>
    <row r="65" spans="1:20">
      <c r="A65" s="23" t="s">
        <v>423</v>
      </c>
      <c r="B65" s="6" t="s">
        <v>424</v>
      </c>
      <c r="C65" s="19">
        <v>1</v>
      </c>
      <c r="D65" s="19">
        <v>1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24">
        <v>0</v>
      </c>
      <c r="N65" s="24">
        <v>0</v>
      </c>
      <c r="O65" s="24">
        <v>0</v>
      </c>
      <c r="P65" s="24">
        <v>0</v>
      </c>
      <c r="Q65" s="24">
        <v>1</v>
      </c>
      <c r="R65" s="24">
        <v>0</v>
      </c>
      <c r="S65" s="24">
        <v>0</v>
      </c>
      <c r="T65" s="4"/>
    </row>
    <row r="66" spans="1:20">
      <c r="A66" s="23" t="s">
        <v>425</v>
      </c>
      <c r="B66" s="6" t="s">
        <v>426</v>
      </c>
      <c r="C66" s="19">
        <v>1</v>
      </c>
      <c r="D66" s="19">
        <v>1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24">
        <v>0</v>
      </c>
      <c r="N66" s="24">
        <v>1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4"/>
    </row>
    <row r="67" spans="1:20">
      <c r="A67" s="23" t="s">
        <v>427</v>
      </c>
      <c r="B67" s="6" t="s">
        <v>428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4"/>
    </row>
    <row r="68" spans="1:20">
      <c r="A68" s="23" t="s">
        <v>429</v>
      </c>
      <c r="B68" s="6" t="s">
        <v>430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1</v>
      </c>
      <c r="L68" s="19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4"/>
    </row>
    <row r="69" spans="1:20">
      <c r="A69" s="23" t="s">
        <v>431</v>
      </c>
      <c r="B69" s="6" t="s">
        <v>432</v>
      </c>
      <c r="C69" s="19">
        <v>1</v>
      </c>
      <c r="D69" s="19">
        <v>1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24">
        <v>0</v>
      </c>
      <c r="N69" s="24">
        <v>0</v>
      </c>
      <c r="O69" s="24">
        <v>1</v>
      </c>
      <c r="P69" s="24">
        <v>0</v>
      </c>
      <c r="Q69" s="24">
        <v>1</v>
      </c>
      <c r="R69" s="24">
        <v>0</v>
      </c>
      <c r="S69" s="24">
        <v>0</v>
      </c>
      <c r="T69" s="4"/>
    </row>
    <row r="70" spans="1:20">
      <c r="A70" s="23" t="s">
        <v>433</v>
      </c>
      <c r="B70" s="6" t="s">
        <v>345</v>
      </c>
      <c r="C70" s="19">
        <v>1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1</v>
      </c>
      <c r="J70" s="19">
        <v>0</v>
      </c>
      <c r="K70" s="19">
        <v>0</v>
      </c>
      <c r="L70" s="19">
        <v>1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7">
        <v>0</v>
      </c>
      <c r="S70" s="24">
        <v>0</v>
      </c>
      <c r="T70" s="4"/>
    </row>
    <row r="71" spans="1:20">
      <c r="A71" s="23" t="s">
        <v>434</v>
      </c>
      <c r="B71" s="6" t="s">
        <v>435</v>
      </c>
      <c r="C71" s="19">
        <v>1</v>
      </c>
      <c r="D71" s="19">
        <v>1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24">
        <v>0</v>
      </c>
      <c r="N71" s="24">
        <v>0</v>
      </c>
      <c r="O71" s="24">
        <v>0</v>
      </c>
      <c r="P71" s="24">
        <v>0</v>
      </c>
      <c r="Q71" s="24">
        <v>1</v>
      </c>
      <c r="R71" s="24">
        <v>0</v>
      </c>
      <c r="S71" s="24">
        <v>0</v>
      </c>
      <c r="T71" s="4"/>
    </row>
    <row r="72" spans="1:20">
      <c r="A72" s="23" t="s">
        <v>436</v>
      </c>
      <c r="B72" s="6" t="s">
        <v>437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1</v>
      </c>
      <c r="L72" s="19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4"/>
    </row>
    <row r="73" spans="1:20">
      <c r="A73" s="23" t="s">
        <v>438</v>
      </c>
      <c r="B73" s="6" t="s">
        <v>439</v>
      </c>
      <c r="C73" s="19">
        <v>1</v>
      </c>
      <c r="D73" s="19">
        <v>0</v>
      </c>
      <c r="E73" s="19">
        <v>0</v>
      </c>
      <c r="F73" s="19">
        <v>0</v>
      </c>
      <c r="G73" s="19">
        <v>0</v>
      </c>
      <c r="H73" s="19">
        <v>1</v>
      </c>
      <c r="I73" s="19">
        <v>0</v>
      </c>
      <c r="J73" s="19">
        <v>0</v>
      </c>
      <c r="K73" s="19">
        <v>0</v>
      </c>
      <c r="L73" s="19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4"/>
    </row>
    <row r="74" spans="1:20">
      <c r="A74" s="23" t="s">
        <v>440</v>
      </c>
      <c r="B74" s="6" t="s">
        <v>441</v>
      </c>
      <c r="C74" s="19">
        <v>1</v>
      </c>
      <c r="D74" s="19">
        <v>1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24">
        <v>0</v>
      </c>
      <c r="N74" s="24">
        <v>1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4"/>
    </row>
    <row r="75" spans="1:20">
      <c r="A75" s="23" t="s">
        <v>442</v>
      </c>
      <c r="B75" s="6" t="s">
        <v>41</v>
      </c>
      <c r="C75" s="19">
        <v>1</v>
      </c>
      <c r="D75" s="19">
        <v>0</v>
      </c>
      <c r="E75" s="19">
        <v>0</v>
      </c>
      <c r="F75" s="19">
        <v>0</v>
      </c>
      <c r="G75" s="19">
        <v>0</v>
      </c>
      <c r="H75" s="19">
        <v>1</v>
      </c>
      <c r="I75" s="19">
        <v>0</v>
      </c>
      <c r="J75" s="19">
        <v>0</v>
      </c>
      <c r="K75" s="19">
        <v>0</v>
      </c>
      <c r="L75" s="19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4"/>
    </row>
    <row r="76" spans="1:20">
      <c r="A76" s="23" t="s">
        <v>443</v>
      </c>
      <c r="B76" s="6" t="s">
        <v>444</v>
      </c>
      <c r="C76" s="19">
        <v>1</v>
      </c>
      <c r="D76" s="19">
        <v>1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24">
        <v>0</v>
      </c>
      <c r="N76" s="24">
        <v>0</v>
      </c>
      <c r="O76" s="24">
        <v>1</v>
      </c>
      <c r="P76" s="24">
        <v>0</v>
      </c>
      <c r="Q76" s="24">
        <v>0</v>
      </c>
      <c r="R76" s="24">
        <v>0</v>
      </c>
      <c r="S76" s="24">
        <v>0</v>
      </c>
      <c r="T76" s="4"/>
    </row>
    <row r="77" spans="1:20">
      <c r="A77" s="23" t="s">
        <v>445</v>
      </c>
      <c r="B77" s="6" t="s">
        <v>446</v>
      </c>
      <c r="C77" s="19">
        <v>1</v>
      </c>
      <c r="D77" s="19">
        <v>1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24">
        <v>0</v>
      </c>
      <c r="N77" s="24">
        <v>0</v>
      </c>
      <c r="O77" s="24">
        <v>1</v>
      </c>
      <c r="P77" s="24">
        <v>0</v>
      </c>
      <c r="Q77" s="24">
        <v>0</v>
      </c>
      <c r="R77" s="24">
        <v>0</v>
      </c>
      <c r="S77" s="24">
        <v>0</v>
      </c>
      <c r="T77" s="4"/>
    </row>
    <row r="78" spans="1:20">
      <c r="A78" s="23" t="s">
        <v>447</v>
      </c>
      <c r="B78" s="6" t="s">
        <v>448</v>
      </c>
      <c r="C78" s="19">
        <v>1</v>
      </c>
      <c r="D78" s="19">
        <v>1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24">
        <v>0</v>
      </c>
      <c r="N78" s="24">
        <v>0</v>
      </c>
      <c r="O78" s="24">
        <v>1</v>
      </c>
      <c r="P78" s="24">
        <v>0</v>
      </c>
      <c r="Q78" s="24">
        <v>0</v>
      </c>
      <c r="R78" s="24">
        <v>0</v>
      </c>
      <c r="S78" s="24">
        <v>0</v>
      </c>
      <c r="T78" s="4"/>
    </row>
    <row r="79" spans="1:20">
      <c r="A79" s="23" t="s">
        <v>449</v>
      </c>
      <c r="B79" s="6" t="s">
        <v>450</v>
      </c>
      <c r="C79" s="19">
        <v>1</v>
      </c>
      <c r="D79" s="19">
        <v>1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1</v>
      </c>
      <c r="M79" s="24">
        <v>1</v>
      </c>
      <c r="N79" s="24">
        <v>0</v>
      </c>
      <c r="O79" s="24">
        <v>0</v>
      </c>
      <c r="P79" s="24">
        <v>1</v>
      </c>
      <c r="Q79" s="24">
        <v>0</v>
      </c>
      <c r="R79" s="24">
        <v>0</v>
      </c>
      <c r="S79" s="24">
        <v>0</v>
      </c>
      <c r="T79" s="4"/>
    </row>
    <row r="80" spans="1:20">
      <c r="A80" s="23" t="s">
        <v>451</v>
      </c>
      <c r="B80" s="6" t="s">
        <v>452</v>
      </c>
      <c r="C80" s="19">
        <v>0</v>
      </c>
      <c r="D80" s="19">
        <v>0</v>
      </c>
      <c r="E80" s="19">
        <v>0</v>
      </c>
      <c r="F80" s="20">
        <v>1</v>
      </c>
      <c r="G80" s="19">
        <v>1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24">
        <v>0</v>
      </c>
      <c r="N80" s="24">
        <v>0</v>
      </c>
      <c r="O80" s="24">
        <v>1</v>
      </c>
      <c r="P80" s="24">
        <v>0</v>
      </c>
      <c r="Q80" s="24">
        <v>0</v>
      </c>
      <c r="R80" s="24">
        <v>0</v>
      </c>
      <c r="S80" s="24">
        <v>0</v>
      </c>
      <c r="T80" s="4"/>
    </row>
    <row r="81" spans="1:20">
      <c r="A81" s="6"/>
      <c r="B81" s="6"/>
      <c r="C81" s="4">
        <f t="shared" ref="C81:J81" si="0">SUM(C2:C80)</f>
        <v>69</v>
      </c>
      <c r="D81" s="4">
        <f t="shared" si="0"/>
        <v>53</v>
      </c>
      <c r="E81" s="4">
        <f t="shared" si="0"/>
        <v>0</v>
      </c>
      <c r="F81" s="4">
        <f t="shared" si="0"/>
        <v>7</v>
      </c>
      <c r="G81" s="4">
        <f t="shared" si="0"/>
        <v>6</v>
      </c>
      <c r="H81" s="4">
        <f t="shared" si="0"/>
        <v>13</v>
      </c>
      <c r="I81" s="4">
        <f t="shared" si="0"/>
        <v>1</v>
      </c>
      <c r="J81" s="4">
        <f t="shared" si="0"/>
        <v>7</v>
      </c>
      <c r="K81" s="4">
        <f>SUM(K2:K80)</f>
        <v>3</v>
      </c>
      <c r="L81" s="4">
        <f t="shared" ref="L81:R81" si="1">SUM(L2:L80)</f>
        <v>20</v>
      </c>
      <c r="M81" s="6" t="s">
        <v>453</v>
      </c>
      <c r="N81" s="6">
        <f t="shared" si="1"/>
        <v>13</v>
      </c>
      <c r="O81" s="6">
        <f t="shared" si="1"/>
        <v>18</v>
      </c>
      <c r="P81" s="6">
        <f t="shared" si="1"/>
        <v>7</v>
      </c>
      <c r="Q81" s="6">
        <f t="shared" si="1"/>
        <v>13</v>
      </c>
      <c r="R81" s="6">
        <f t="shared" si="1"/>
        <v>2</v>
      </c>
      <c r="S81" s="6">
        <f>SUM(S2:S80)</f>
        <v>2</v>
      </c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8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8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8"/>
      <c r="T8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Shephard</dc:creator>
  <cp:keywords/>
  <dc:description/>
  <cp:lastModifiedBy/>
  <cp:revision/>
  <dcterms:created xsi:type="dcterms:W3CDTF">2025-05-30T00:37:51Z</dcterms:created>
  <dcterms:modified xsi:type="dcterms:W3CDTF">2025-09-21T13:50:43Z</dcterms:modified>
  <cp:category/>
  <cp:contentStatus/>
</cp:coreProperties>
</file>